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guife\Documents\Microsoft 365\Excel\"/>
    </mc:Choice>
  </mc:AlternateContent>
  <xr:revisionPtr revIDLastSave="0" documentId="13_ncr:1_{BC8BEF68-93D2-45F8-88D1-B620B59B479A}" xr6:coauthVersionLast="47" xr6:coauthVersionMax="47" xr10:uidLastSave="{00000000-0000-0000-0000-000000000000}"/>
  <bookViews>
    <workbookView xWindow="-108" yWindow="-108" windowWidth="23256" windowHeight="13176" tabRatio="796" activeTab="1" xr2:uid="{4E94C430-510C-4562-AF48-85ADFF762841}"/>
  </bookViews>
  <sheets>
    <sheet name="Calculos 2" sheetId="11" r:id="rId1"/>
    <sheet name="Dashboard" sheetId="5" r:id="rId2"/>
    <sheet name="Detalhes1" sheetId="9" state="hidden" r:id="rId3"/>
    <sheet name="Lançamentos" sheetId="2" r:id="rId4"/>
    <sheet name="Cadastros" sheetId="1" r:id="rId5"/>
  </sheets>
  <definedNames>
    <definedName name="_xlnm._FilterDatabase" localSheetId="3" hidden="1">Lançamentos!$A$4:$G$2004</definedName>
    <definedName name="_xlcn.WorksheetConnection_DashboardPro.xlsxDataBase1" hidden="1">DataBase[]</definedName>
    <definedName name="_xlnm.Criteria" localSheetId="3">Lançamentos!$A$1:$G$2</definedName>
    <definedName name="Format">#REF!</definedName>
    <definedName name="Formatações">#REF!</definedName>
    <definedName name="SegmentaçãodeDados_Hierarquia_de_Datas">#N/A</definedName>
  </definedNames>
  <calcPr calcId="191029"/>
  <pivotCaches>
    <pivotCache cacheId="888" r:id="rId6"/>
    <pivotCache cacheId="891" r:id="rId7"/>
    <pivotCache cacheId="894" r:id="rId8"/>
    <pivotCache cacheId="1393" r:id="rId9"/>
    <pivotCache cacheId="1396" r:id="rId10"/>
    <pivotCache cacheId="1399" r:id="rId11"/>
  </pivotCaches>
  <extLst>
    <ext xmlns:x14="http://schemas.microsoft.com/office/spreadsheetml/2009/9/main" uri="{876F7934-8845-4945-9796-88D515C7AA90}">
      <x14:pivotCaches>
        <pivotCache cacheId="878" r:id="rId12"/>
      </x14:pivotCaches>
    </ex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Base" name="Lançamentos" connection="WorksheetConnection_Dashboard Pro.xlsx!DataBase"/>
          <x15:modelTable id="Calendário" name="Calendário" connection="Conexão"/>
        </x15:modelTables>
        <x15:modelRelationships>
          <x15:modelRelationship fromTable="Lançamentos" fromColumn="Data de Emissão" toTable="Calendário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Lançamentos" columnName="Data de Emissão" columnId="Data de Emissão">
                <x16:calculatedTimeColumn columnName="Data de Emissão (Índice de Mês)" columnId="Data de Emissão (Índice de Mês)" contentType="monthsindex" isSelected="1"/>
                <x16:calculatedTimeColumn columnName="Data de Emissão (Mês)" columnId="Data de Emissão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" i="2" l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tc={2C41F35C-3027-49C7-B858-719416911214}</author>
  </authors>
  <commentList>
    <comment ref="D26" authorId="0" shapeId="0" xr:uid="{2C41F35C-3027-49C7-B858-7194169112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Tarefas:
- Criar sistema de filtragem com Power Pivot
- Melhorar interface da Aba de Lançamentos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8C9C29-7B07-437B-A90B-3257EF2A38D2}" name="Conexão" type="104" refreshedVersion="0" background="1">
    <extLst>
      <ext xmlns:x15="http://schemas.microsoft.com/office/spreadsheetml/2010/11/main" uri="{DE250136-89BD-433C-8126-D09CA5730AF9}">
        <x15:connection id="Calendário"/>
      </ext>
    </extLst>
  </connection>
  <connection id="2" xr16:uid="{1EE16F3E-B570-4EC3-AEC3-2EB1A18DF407}" keepAlive="1" name="ThisWorkbookDataModel" description="Modelo de Dad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73047029-CC2E-41A6-8586-67AD0E457D3C}" name="WorksheetConnection_Dashboard Pro.xlsx!DataBase" type="102" refreshedVersion="8" minRefreshableVersion="5">
    <extLst>
      <ext xmlns:x15="http://schemas.microsoft.com/office/spreadsheetml/2010/11/main" uri="{DE250136-89BD-433C-8126-D09CA5730AF9}">
        <x15:connection id="DataBase">
          <x15:rangePr sourceName="_xlcn.WorksheetConnection_DashboardPro.xlsxDataBase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Lançamentos].[Tipo].&amp;[Despesa]}"/>
    <s v="{[Lançamentos].[Tipo].&amp;[Receita]}"/>
    <s v="{[Calendário].[Mês].[All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<sst xmlns="http://schemas.openxmlformats.org/spreadsheetml/2006/main" count="8248" uniqueCount="150">
  <si>
    <t>ID</t>
  </si>
  <si>
    <t xml:space="preserve"> Descrição</t>
  </si>
  <si>
    <t xml:space="preserve"> Categoria</t>
  </si>
  <si>
    <t xml:space="preserve"> Valor</t>
  </si>
  <si>
    <t xml:space="preserve"> Status</t>
  </si>
  <si>
    <t>Receita</t>
  </si>
  <si>
    <t>Despesas</t>
  </si>
  <si>
    <t>Água</t>
  </si>
  <si>
    <t>Aluguel</t>
  </si>
  <si>
    <t>Marketing</t>
  </si>
  <si>
    <t>Pessoal</t>
  </si>
  <si>
    <t>Dezembro</t>
  </si>
  <si>
    <t>Tipo</t>
  </si>
  <si>
    <t>Dashboard Pro</t>
  </si>
  <si>
    <t>Tecnologia</t>
  </si>
  <si>
    <t>Operacional</t>
  </si>
  <si>
    <t>Administrativo</t>
  </si>
  <si>
    <t>Financeiro</t>
  </si>
  <si>
    <t>Projetos</t>
  </si>
  <si>
    <t>Salários</t>
  </si>
  <si>
    <t>Tarifas bancárias</t>
  </si>
  <si>
    <t>Publicidade online</t>
  </si>
  <si>
    <t>Contabilidade</t>
  </si>
  <si>
    <t>Serviços de nuvem</t>
  </si>
  <si>
    <t>Encargos trabalhistas</t>
  </si>
  <si>
    <t>Juros de empréstimos</t>
  </si>
  <si>
    <t>Energia elétrica</t>
  </si>
  <si>
    <t>Google Ads</t>
  </si>
  <si>
    <t>Serviços jurídicos</t>
  </si>
  <si>
    <t>Licenças de software</t>
  </si>
  <si>
    <t>Benefícios</t>
  </si>
  <si>
    <t>Parcelas de financiamentos</t>
  </si>
  <si>
    <t>Redes sociais</t>
  </si>
  <si>
    <t>Material de escritório</t>
  </si>
  <si>
    <t>Servidores</t>
  </si>
  <si>
    <t>Férias</t>
  </si>
  <si>
    <t>Taxas de cartão</t>
  </si>
  <si>
    <t>Internet</t>
  </si>
  <si>
    <t>Eventos e feiras</t>
  </si>
  <si>
    <t>Correios</t>
  </si>
  <si>
    <t>Equipamentos de TI</t>
  </si>
  <si>
    <t>13º salário</t>
  </si>
  <si>
    <t>IOF</t>
  </si>
  <si>
    <t>Limpeza</t>
  </si>
  <si>
    <t>Produção de conteúdo</t>
  </si>
  <si>
    <t>Consultorias</t>
  </si>
  <si>
    <t>Manutenção de hardware</t>
  </si>
  <si>
    <t>Rescisões</t>
  </si>
  <si>
    <t>Despesas cambiais</t>
  </si>
  <si>
    <t>Segurança</t>
  </si>
  <si>
    <t>Brindes promocionais</t>
  </si>
  <si>
    <t>Despesas com documentos</t>
  </si>
  <si>
    <t>Hospedagem</t>
  </si>
  <si>
    <t>Recrutamento</t>
  </si>
  <si>
    <t>Antecipação de recebíveis</t>
  </si>
  <si>
    <t>Manutenção predial</t>
  </si>
  <si>
    <t>Marketing de influência</t>
  </si>
  <si>
    <t>Seguros</t>
  </si>
  <si>
    <t>Domínios e certificados</t>
  </si>
  <si>
    <t>Treinamentos</t>
  </si>
  <si>
    <t>—</t>
  </si>
  <si>
    <t>Transporte</t>
  </si>
  <si>
    <t>Relações públicas</t>
  </si>
  <si>
    <t>Sistemas administrativos</t>
  </si>
  <si>
    <t>Ferramentas de desenvolvimento</t>
  </si>
  <si>
    <t>Plano de saúde</t>
  </si>
  <si>
    <t>Viagens corporativas</t>
  </si>
  <si>
    <t>Design e criação</t>
  </si>
  <si>
    <t>Auditoria</t>
  </si>
  <si>
    <t>Serviços de cibersegurança</t>
  </si>
  <si>
    <t>Vale-transporte/alimentação</t>
  </si>
  <si>
    <t>Seguros patrimoniais</t>
  </si>
  <si>
    <t>Comissões de vendas</t>
  </si>
  <si>
    <t>Despesas com reuniões</t>
  </si>
  <si>
    <t>Backup e armazenamento</t>
  </si>
  <si>
    <t>Recorrentes</t>
  </si>
  <si>
    <t>Comércio</t>
  </si>
  <si>
    <t>Outras</t>
  </si>
  <si>
    <t>Assinaturas SaaS</t>
  </si>
  <si>
    <t>Desenvolvimento de software</t>
  </si>
  <si>
    <t>Venda de computadores</t>
  </si>
  <si>
    <t>Rendimentos de aplicações</t>
  </si>
  <si>
    <t>Mensalidades</t>
  </si>
  <si>
    <t>Venda de servidores</t>
  </si>
  <si>
    <t>Juros recebidos</t>
  </si>
  <si>
    <t>Contratos de suporte</t>
  </si>
  <si>
    <t>Projetos de IA</t>
  </si>
  <si>
    <t>Venda de periféricos</t>
  </si>
  <si>
    <t>Comissões recebidas</t>
  </si>
  <si>
    <t>Contratos de manutenção</t>
  </si>
  <si>
    <t>Consultoria em tecnologia</t>
  </si>
  <si>
    <t>Venda de equipamentos de rede</t>
  </si>
  <si>
    <t>Royalties</t>
  </si>
  <si>
    <t>Licenças recorrentes</t>
  </si>
  <si>
    <t>Implantação de sistemas</t>
  </si>
  <si>
    <t>Venda de softwares/licenças</t>
  </si>
  <si>
    <t>Aluguéis recebidos</t>
  </si>
  <si>
    <t>Hospedagem mensal</t>
  </si>
  <si>
    <t>Migração de sistemas</t>
  </si>
  <si>
    <t>Revenda de produtos de terceiros</t>
  </si>
  <si>
    <t>Recuperação de créditos</t>
  </si>
  <si>
    <t>Serviços de cloud</t>
  </si>
  <si>
    <t>Revenda de serviços tecnológicos</t>
  </si>
  <si>
    <t>Venda de ativos</t>
  </si>
  <si>
    <t>Treinamentos corporativos</t>
  </si>
  <si>
    <t>Indenizações recebidas</t>
  </si>
  <si>
    <t>Serviços de monitoramento</t>
  </si>
  <si>
    <t>Customização de sistemas</t>
  </si>
  <si>
    <t>Descontos financeiros recebidos</t>
  </si>
  <si>
    <t>Outras receitas eventuais</t>
  </si>
  <si>
    <t>Receitas</t>
  </si>
  <si>
    <t>Suporte técnico</t>
  </si>
  <si>
    <t xml:space="preserve"> Data de Emissão</t>
  </si>
  <si>
    <t>Despesa</t>
  </si>
  <si>
    <t>Realizado</t>
  </si>
  <si>
    <t>Data de Emissão</t>
  </si>
  <si>
    <t>Rótulos de Linha</t>
  </si>
  <si>
    <t>Total Geral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</si>
  <si>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</si>
  <si>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</si>
  <si>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</si>
  <si>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</si>
  <si>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</si>
  <si>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</si>
  <si>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</si>
  <si>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</si>
  <si>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</si>
  <si>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</si>
  <si>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</si>
  <si>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</si>
  <si>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</si>
  <si>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</si>
  <si>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</si>
  <si>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</si>
  <si>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</si>
  <si>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</si>
  <si>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</si>
  <si>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</si>
  <si>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</si>
  <si>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</si>
  <si>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</si>
  <si>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Ano</t>
  </si>
  <si>
    <t>Detalhes do Soma de DiferencaReceita - Dias ( Data de Emissão): 1-Dec, Meses ( Data de Emissão): Dec</t>
  </si>
  <si>
    <t>Valor Real</t>
  </si>
  <si>
    <t>Soma de Valor Real</t>
  </si>
  <si>
    <t>Mês</t>
  </si>
  <si>
    <t>Soma de Valor</t>
  </si>
  <si>
    <t>All</t>
  </si>
  <si>
    <t>Valor Acumulativo</t>
  </si>
  <si>
    <t>Valor Isolado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</si>
</sst>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"/>
    <numFmt numFmtId="167" formatCode="&quot;R$&quot;\ #,##0.00;\-&quot;R$&quot;\ #,##0.00;&quot;R$&quot;\ #,##0.00"/>
    <numFmt numFmtId="170" formatCode="d/m;@"/>
  </numFmts>
  <fonts count="1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7" tint="0.79998168889431442"/>
      <name val="Aptos Narrow"/>
      <family val="2"/>
      <scheme val="minor"/>
    </font>
    <font>
      <b/>
      <sz val="12"/>
      <color theme="7" tint="0.79998168889431442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name val="Carlito"/>
    </font>
    <font>
      <sz val="10"/>
      <color rgb="FF000000"/>
      <name val="Carlito"/>
    </font>
    <font>
      <sz val="11"/>
      <color rgb="FF000000"/>
      <name val="Aptos Narrow"/>
      <family val="2"/>
    </font>
    <font>
      <b/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3" tint="0.249977111117893"/>
      </top>
      <bottom style="thin">
        <color theme="3" tint="0.249977111117893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2">
    <xf numFmtId="0" fontId="0" fillId="0" borderId="0"/>
    <xf numFmtId="0" fontId="6" fillId="0" borderId="0"/>
  </cellStyleXfs>
  <cellXfs count="36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  <xf numFmtId="0" fontId="1" fillId="4" borderId="3" xfId="0" applyFont="1" applyFill="1" applyBorder="1"/>
    <xf numFmtId="0" fontId="1" fillId="5" borderId="3" xfId="0" applyFont="1" applyFill="1" applyBorder="1"/>
    <xf numFmtId="164" fontId="0" fillId="6" borderId="3" xfId="0" applyNumberFormat="1" applyFill="1" applyBorder="1"/>
    <xf numFmtId="14" fontId="7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164" fontId="7" fillId="0" borderId="0" xfId="1" applyNumberFormat="1" applyFont="1" applyAlignment="1">
      <alignment horizontal="right" vertical="center"/>
    </xf>
    <xf numFmtId="164" fontId="7" fillId="0" borderId="0" xfId="1" applyNumberFormat="1" applyFont="1" applyAlignment="1">
      <alignment horizontal="center" vertical="center"/>
    </xf>
    <xf numFmtId="1" fontId="0" fillId="0" borderId="0" xfId="0" applyNumberFormat="1"/>
    <xf numFmtId="0" fontId="0" fillId="7" borderId="3" xfId="0" applyFill="1" applyBorder="1"/>
    <xf numFmtId="1" fontId="0" fillId="6" borderId="3" xfId="0" applyNumberFormat="1" applyFill="1" applyBorder="1"/>
    <xf numFmtId="0" fontId="7" fillId="7" borderId="1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4" fontId="0" fillId="6" borderId="3" xfId="0" applyNumberForma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 applyProtection="1">
      <protection locked="0"/>
    </xf>
    <xf numFmtId="0" fontId="4" fillId="3" borderId="0" xfId="0" applyFont="1" applyFill="1" applyAlignment="1" applyProtection="1">
      <alignment horizontal="center" vertical="center"/>
      <protection locked="0"/>
    </xf>
    <xf numFmtId="0" fontId="4" fillId="3" borderId="0" xfId="0" applyFont="1" applyFill="1" applyAlignment="1" applyProtection="1">
      <alignment vertical="center"/>
      <protection locked="0"/>
    </xf>
    <xf numFmtId="14" fontId="0" fillId="0" borderId="0" xfId="0" applyNumberFormat="1"/>
    <xf numFmtId="0" fontId="2" fillId="0" borderId="0" xfId="0" applyFont="1"/>
    <xf numFmtId="0" fontId="9" fillId="3" borderId="0" xfId="0" applyFont="1" applyFill="1" applyAlignment="1" applyProtection="1">
      <alignment horizontal="left"/>
      <protection locked="0"/>
    </xf>
    <xf numFmtId="0" fontId="2" fillId="3" borderId="0" xfId="0" applyFont="1" applyFill="1" applyAlignment="1" applyProtection="1">
      <alignment horizontal="left"/>
      <protection locked="0"/>
    </xf>
    <xf numFmtId="0" fontId="3" fillId="3" borderId="0" xfId="0" applyFont="1" applyFill="1" applyAlignment="1" applyProtection="1">
      <alignment horizontal="center" vertical="center"/>
      <protection locked="0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0" xfId="0" applyFill="1" applyAlignment="1" applyProtection="1">
      <alignment horizontal="center"/>
      <protection locked="0"/>
    </xf>
    <xf numFmtId="0" fontId="4" fillId="3" borderId="0" xfId="0" applyFont="1" applyFill="1" applyAlignment="1" applyProtection="1">
      <alignment horizontal="center" vertical="center"/>
      <protection locked="0"/>
    </xf>
    <xf numFmtId="167" fontId="0" fillId="0" borderId="0" xfId="0" applyNumberFormat="1"/>
    <xf numFmtId="170" fontId="0" fillId="0" borderId="0" xfId="0" applyNumberFormat="1" applyAlignment="1">
      <alignment horizontal="left"/>
    </xf>
  </cellXfs>
  <cellStyles count="2">
    <cellStyle name="Normal" xfId="0" builtinId="0"/>
    <cellStyle name="Normal 2" xfId="1" xr:uid="{DED00503-5760-4BE9-91D5-C039167AF243}"/>
  </cellStyles>
  <dxfs count="84"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numFmt numFmtId="170" formatCode="d/m;@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64" formatCode="&quot;R$&quot;\ 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R$&quot;\ #,##0.00"/>
      <fill>
        <patternFill patternType="none">
          <fgColor indexed="64"/>
          <bgColor auto="1"/>
        </patternFill>
      </fill>
    </dxf>
    <dxf>
      <numFmt numFmtId="164" formatCode="&quot;R$&quot;\ #,##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</dxf>
  </dxfs>
  <tableStyles count="0" defaultTableStyle="TableStyleMedium2" defaultPivotStyle="PivotStyleLight16"/>
  <colors>
    <mruColors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sheetMetadata" Target="metadata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10/relationships/person" Target="persons/person.xml"/><Relationship Id="rId29" Type="http://schemas.openxmlformats.org/officeDocument/2006/relationships/customXml" Target="../customXml/item8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pivotCacheDefinition" Target="pivotCache/pivotCacheDefinition5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theme" Target="theme/theme1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7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Pro.xlsx]Calculos 2!Distribuição Receita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'Calculos 2'!$E$4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7B3-4F4A-BB6B-6A84FE954355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7B3-4F4A-BB6B-6A84FE954355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7B3-4F4A-BB6B-6A84FE954355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17B3-4F4A-BB6B-6A84FE954355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'Calculos 2'!$D$5:$D$9</c:f>
              <c:strCache>
                <c:ptCount val="4"/>
                <c:pt idx="0">
                  <c:v>Recorrentes</c:v>
                </c:pt>
                <c:pt idx="1">
                  <c:v>Projetos</c:v>
                </c:pt>
                <c:pt idx="2">
                  <c:v>Comércio</c:v>
                </c:pt>
                <c:pt idx="3">
                  <c:v>Outras</c:v>
                </c:pt>
              </c:strCache>
            </c:strRef>
          </c:cat>
          <c:val>
            <c:numRef>
              <c:f>'Calculos 2'!$E$5:$E$9</c:f>
              <c:numCache>
                <c:formatCode>"R$"#,##0.00_);\("R$"#,##0.00\)</c:formatCode>
                <c:ptCount val="4"/>
                <c:pt idx="0">
                  <c:v>183651.03</c:v>
                </c:pt>
                <c:pt idx="1">
                  <c:v>127148.23</c:v>
                </c:pt>
                <c:pt idx="2">
                  <c:v>115410.66</c:v>
                </c:pt>
                <c:pt idx="3">
                  <c:v>1922.21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7B3-4F4A-BB6B-6A84FE95435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>
              <a:lumMod val="9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Pro.xlsx]Calculos 2!Distribuição Despesa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'Calculos 2'!$E$14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3A7-4D85-A71F-2B984F532070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3A7-4D85-A71F-2B984F532070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3A7-4D85-A71F-2B984F532070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C3A7-4D85-A71F-2B984F532070}"/>
              </c:ext>
            </c:extLst>
          </c:dPt>
          <c:dPt>
            <c:idx val="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C3A7-4D85-A71F-2B984F532070}"/>
              </c:ext>
            </c:extLst>
          </c:dPt>
          <c:dPt>
            <c:idx val="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C3A7-4D85-A71F-2B984F532070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'Calculos 2'!$D$15:$D$21</c:f>
              <c:strCache>
                <c:ptCount val="6"/>
                <c:pt idx="0">
                  <c:v>Tecnologia</c:v>
                </c:pt>
                <c:pt idx="1">
                  <c:v>Pessoal</c:v>
                </c:pt>
                <c:pt idx="2">
                  <c:v>Operacional</c:v>
                </c:pt>
                <c:pt idx="3">
                  <c:v>Administrativo</c:v>
                </c:pt>
                <c:pt idx="4">
                  <c:v>Marketing</c:v>
                </c:pt>
                <c:pt idx="5">
                  <c:v>Financeiro</c:v>
                </c:pt>
              </c:strCache>
            </c:strRef>
          </c:cat>
          <c:val>
            <c:numRef>
              <c:f>'Calculos 2'!$E$15:$E$21</c:f>
              <c:numCache>
                <c:formatCode>"R$"#,##0.00_);\("R$"#,##0.00\)</c:formatCode>
                <c:ptCount val="6"/>
                <c:pt idx="0">
                  <c:v>81813.649999999994</c:v>
                </c:pt>
                <c:pt idx="1">
                  <c:v>81039.34</c:v>
                </c:pt>
                <c:pt idx="2">
                  <c:v>73106.44</c:v>
                </c:pt>
                <c:pt idx="3">
                  <c:v>38414.639999999999</c:v>
                </c:pt>
                <c:pt idx="4">
                  <c:v>27987.79</c:v>
                </c:pt>
                <c:pt idx="5">
                  <c:v>12926.67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3A7-4D85-A71F-2B984F53207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>
              <a:lumMod val="9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Pro.xlsx]Calculos 2!Receitas Mensais</c:name>
    <c:fmtId val="0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'Calculos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'Calculos 2'!$A$4:$A$16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'Calculos 2'!$B$4:$B$16</c:f>
              <c:numCache>
                <c:formatCode>"R$"#,##0.00_);\("R$"#,##0.00\)</c:formatCode>
                <c:ptCount val="12"/>
                <c:pt idx="0">
                  <c:v>375118.14</c:v>
                </c:pt>
                <c:pt idx="1">
                  <c:v>398081.86</c:v>
                </c:pt>
                <c:pt idx="2">
                  <c:v>418396.82</c:v>
                </c:pt>
                <c:pt idx="3">
                  <c:v>460326.34</c:v>
                </c:pt>
                <c:pt idx="4">
                  <c:v>394829.97</c:v>
                </c:pt>
                <c:pt idx="5">
                  <c:v>387588.46</c:v>
                </c:pt>
                <c:pt idx="6">
                  <c:v>367519.49</c:v>
                </c:pt>
                <c:pt idx="7">
                  <c:v>295463.65999999997</c:v>
                </c:pt>
                <c:pt idx="8">
                  <c:v>290506.92</c:v>
                </c:pt>
                <c:pt idx="9">
                  <c:v>389953.39</c:v>
                </c:pt>
                <c:pt idx="10">
                  <c:v>464082.82</c:v>
                </c:pt>
                <c:pt idx="11">
                  <c:v>428132.13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98-41F3-9AE7-2E3443D3C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359438399"/>
        <c:axId val="298652623"/>
      </c:barChart>
      <c:catAx>
        <c:axId val="359438399"/>
        <c:scaling>
          <c:orientation val="minMax"/>
        </c:scaling>
        <c:delete val="0"/>
        <c:axPos val="b"/>
        <c:numFmt formatCode="[$-416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8652623"/>
        <c:crosses val="autoZero"/>
        <c:auto val="1"/>
        <c:lblAlgn val="ctr"/>
        <c:lblOffset val="100"/>
        <c:noMultiLvlLbl val="0"/>
      </c:catAx>
      <c:valAx>
        <c:axId val="298652623"/>
        <c:scaling>
          <c:orientation val="minMax"/>
          <c:max val="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9438399"/>
        <c:crosses val="autoZero"/>
        <c:crossBetween val="between"/>
        <c:majorUnit val="100000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spPr>
        <a:solidFill>
          <a:srgbClr val="000000">
            <a:alpha val="0"/>
          </a:srgbClr>
        </a:solidFill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>
              <a:lumMod val="9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Pro.xlsx]Calculos 2!Despesas Mensais</c:name>
    <c:fmtId val="0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'Calculos 2'!$B$20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'Calculos 2'!$A$21:$A$33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'Calculos 2'!$B$21:$B$33</c:f>
              <c:numCache>
                <c:formatCode>"R$"#,##0.00_);\("R$"#,##0.00\)</c:formatCode>
                <c:ptCount val="12"/>
                <c:pt idx="0">
                  <c:v>318363.34999999998</c:v>
                </c:pt>
                <c:pt idx="1">
                  <c:v>345157.04</c:v>
                </c:pt>
                <c:pt idx="2">
                  <c:v>342862.2</c:v>
                </c:pt>
                <c:pt idx="3">
                  <c:v>322239.39</c:v>
                </c:pt>
                <c:pt idx="4">
                  <c:v>473046.15</c:v>
                </c:pt>
                <c:pt idx="5">
                  <c:v>366622.8</c:v>
                </c:pt>
                <c:pt idx="6">
                  <c:v>386485.76000000001</c:v>
                </c:pt>
                <c:pt idx="7">
                  <c:v>293497</c:v>
                </c:pt>
                <c:pt idx="8">
                  <c:v>327148.90000000002</c:v>
                </c:pt>
                <c:pt idx="9">
                  <c:v>419099.36</c:v>
                </c:pt>
                <c:pt idx="10">
                  <c:v>293189.52</c:v>
                </c:pt>
                <c:pt idx="11">
                  <c:v>315288.53000000003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28-40DD-BC08-CBD428332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858170448"/>
        <c:axId val="1781966576"/>
      </c:barChart>
      <c:catAx>
        <c:axId val="185817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1966576"/>
        <c:crosses val="autoZero"/>
        <c:auto val="1"/>
        <c:lblAlgn val="ctr"/>
        <c:lblOffset val="100"/>
        <c:noMultiLvlLbl val="0"/>
      </c:catAx>
      <c:valAx>
        <c:axId val="178196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-&quot;R$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817044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spPr>
        <a:solidFill>
          <a:srgbClr val="000000">
            <a:alpha val="0"/>
          </a:srgbClr>
        </a:solidFill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>
              <a:lumMod val="9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F0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0"/>
          <c:tx>
            <c:v>Total</c:v>
          </c:tx>
          <c:spPr>
            <a:solidFill>
              <a:srgbClr val="00B0F0"/>
            </a:solidFill>
          </c:spPr>
          <c:invertIfNegative val="0"/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56754.790000000226</c:v>
              </c:pt>
              <c:pt idx="1">
                <c:v>52924.819999999891</c:v>
              </c:pt>
              <c:pt idx="2">
                <c:v>75534.620000000083</c:v>
              </c:pt>
              <c:pt idx="3">
                <c:v>138086.94999999972</c:v>
              </c:pt>
              <c:pt idx="4">
                <c:v>-78216.180000000153</c:v>
              </c:pt>
              <c:pt idx="5">
                <c:v>20965.659999999702</c:v>
              </c:pt>
              <c:pt idx="6">
                <c:v>-18966.27000000012</c:v>
              </c:pt>
              <c:pt idx="7">
                <c:v>1966.6599999999244</c:v>
              </c:pt>
              <c:pt idx="8">
                <c:v>-36641.980000000171</c:v>
              </c:pt>
              <c:pt idx="9">
                <c:v>-29145.970000000201</c:v>
              </c:pt>
              <c:pt idx="10">
                <c:v>170893.29999999987</c:v>
              </c:pt>
              <c:pt idx="11">
                <c:v>112843.59999999979</c:v>
              </c:pt>
            </c:numLit>
          </c:val>
          <c:extLst>
            <c:ext xmlns:c16="http://schemas.microsoft.com/office/drawing/2014/chart" uri="{C3380CC4-5D6E-409C-BE32-E72D297353CC}">
              <c16:uniqueId val="{00000003-3B1C-4002-87E6-1EE7421C4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122534384"/>
        <c:axId val="290690672"/>
      </c:barChart>
      <c:catAx>
        <c:axId val="112253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0690672"/>
        <c:crosses val="autoZero"/>
        <c:auto val="1"/>
        <c:lblAlgn val="ctr"/>
        <c:lblOffset val="100"/>
        <c:noMultiLvlLbl val="0"/>
      </c:catAx>
      <c:valAx>
        <c:axId val="29069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2534384"/>
        <c:crosses val="autoZero"/>
        <c:crossBetween val="between"/>
        <c:majorUnit val="50000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spPr>
        <a:solidFill>
          <a:srgbClr val="FFFFFF">
            <a:alpha val="0"/>
          </a:srgbClr>
        </a:solidFill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b="0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[Dashboard Pro.xlsx]Calculos 2!Lucro Mensal</c:name>
    <c:fmtId val="0"/>
  </c:pivotSource>
  <c:chart>
    <c:autoTitleDeleted val="1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 w="28575" cap="rnd">
            <a:solidFill>
              <a:schemeClr val="tx2">
                <a:lumMod val="25000"/>
                <a:lumOff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 w="28575" cap="rnd">
            <a:solidFill>
              <a:schemeClr val="tx2">
                <a:lumMod val="25000"/>
                <a:lumOff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 w="28575" cap="rnd">
            <a:solidFill>
              <a:schemeClr val="tx2">
                <a:lumMod val="25000"/>
                <a:lumOff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4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4">
                <a:tint val="77000"/>
              </a:schemeClr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'Calculos 2'!$H$3</c:f>
              <c:strCache>
                <c:ptCount val="1"/>
                <c:pt idx="0">
                  <c:v>Valor Acumulativo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'Calculos 2'!$G$4:$G$35</c:f>
              <c:strCache>
                <c:ptCount val="31"/>
                <c:pt idx="0">
                  <c:v>01/12/2025</c:v>
                </c:pt>
                <c:pt idx="1">
                  <c:v>02/12/2025</c:v>
                </c:pt>
                <c:pt idx="2">
                  <c:v>03/12/2025</c:v>
                </c:pt>
                <c:pt idx="3">
                  <c:v>04/12/2025</c:v>
                </c:pt>
                <c:pt idx="4">
                  <c:v>05/12/2025</c:v>
                </c:pt>
                <c:pt idx="5">
                  <c:v>06/12/2025</c:v>
                </c:pt>
                <c:pt idx="6">
                  <c:v>07/12/2025</c:v>
                </c:pt>
                <c:pt idx="7">
                  <c:v>08/12/2025</c:v>
                </c:pt>
                <c:pt idx="8">
                  <c:v>09/12/2025</c:v>
                </c:pt>
                <c:pt idx="9">
                  <c:v>10/12/2025</c:v>
                </c:pt>
                <c:pt idx="10">
                  <c:v>11/12/2025</c:v>
                </c:pt>
                <c:pt idx="11">
                  <c:v>12/12/2025</c:v>
                </c:pt>
                <c:pt idx="12">
                  <c:v>13/12/2025</c:v>
                </c:pt>
                <c:pt idx="13">
                  <c:v>14/12/2025</c:v>
                </c:pt>
                <c:pt idx="14">
                  <c:v>15/12/2025</c:v>
                </c:pt>
                <c:pt idx="15">
                  <c:v>16/12/2025</c:v>
                </c:pt>
                <c:pt idx="16">
                  <c:v>17/12/2025</c:v>
                </c:pt>
                <c:pt idx="17">
                  <c:v>18/12/2025</c:v>
                </c:pt>
                <c:pt idx="18">
                  <c:v>19/12/2025</c:v>
                </c:pt>
                <c:pt idx="19">
                  <c:v>20/12/2025</c:v>
                </c:pt>
                <c:pt idx="20">
                  <c:v>21/12/2025</c:v>
                </c:pt>
                <c:pt idx="21">
                  <c:v>22/12/2025</c:v>
                </c:pt>
                <c:pt idx="22">
                  <c:v>23/12/2025</c:v>
                </c:pt>
                <c:pt idx="23">
                  <c:v>24/12/2025</c:v>
                </c:pt>
                <c:pt idx="24">
                  <c:v>25/12/2025</c:v>
                </c:pt>
                <c:pt idx="25">
                  <c:v>26/12/2025</c:v>
                </c:pt>
                <c:pt idx="26">
                  <c:v>27/12/2025</c:v>
                </c:pt>
                <c:pt idx="27">
                  <c:v>28/12/2025</c:v>
                </c:pt>
                <c:pt idx="28">
                  <c:v>29/12/2025</c:v>
                </c:pt>
                <c:pt idx="29">
                  <c:v>30/12/2025</c:v>
                </c:pt>
                <c:pt idx="30">
                  <c:v>31/12/2025</c:v>
                </c:pt>
              </c:strCache>
            </c:strRef>
          </c:cat>
          <c:val>
            <c:numRef>
              <c:f>'Calculos 2'!$H$4:$H$35</c:f>
              <c:numCache>
                <c:formatCode>"R$"#,##0.00_);\("R$"#,##0.00\)</c:formatCode>
                <c:ptCount val="31"/>
                <c:pt idx="0">
                  <c:v>-8077.57</c:v>
                </c:pt>
                <c:pt idx="1">
                  <c:v>4398.1399999999994</c:v>
                </c:pt>
                <c:pt idx="2">
                  <c:v>4737.0499999999993</c:v>
                </c:pt>
                <c:pt idx="3">
                  <c:v>-8454.01</c:v>
                </c:pt>
                <c:pt idx="4">
                  <c:v>-3781.67</c:v>
                </c:pt>
                <c:pt idx="5">
                  <c:v>-5662.66</c:v>
                </c:pt>
                <c:pt idx="6">
                  <c:v>-11023.33</c:v>
                </c:pt>
                <c:pt idx="7">
                  <c:v>-28134.120000000003</c:v>
                </c:pt>
                <c:pt idx="8">
                  <c:v>-20010.36</c:v>
                </c:pt>
                <c:pt idx="9">
                  <c:v>-2312.2099999999991</c:v>
                </c:pt>
                <c:pt idx="10">
                  <c:v>10624.53</c:v>
                </c:pt>
                <c:pt idx="11">
                  <c:v>3959.3600000000006</c:v>
                </c:pt>
                <c:pt idx="12">
                  <c:v>19163.989999999998</c:v>
                </c:pt>
                <c:pt idx="13">
                  <c:v>37555.89</c:v>
                </c:pt>
                <c:pt idx="14">
                  <c:v>33734.269999999997</c:v>
                </c:pt>
                <c:pt idx="15">
                  <c:v>52281.85</c:v>
                </c:pt>
                <c:pt idx="16">
                  <c:v>53721.03</c:v>
                </c:pt>
                <c:pt idx="17">
                  <c:v>74330.259999999995</c:v>
                </c:pt>
                <c:pt idx="18">
                  <c:v>85089.31</c:v>
                </c:pt>
                <c:pt idx="19">
                  <c:v>88929.31</c:v>
                </c:pt>
                <c:pt idx="20">
                  <c:v>83978.89</c:v>
                </c:pt>
                <c:pt idx="21">
                  <c:v>87486.17</c:v>
                </c:pt>
                <c:pt idx="22">
                  <c:v>95668.069999999992</c:v>
                </c:pt>
                <c:pt idx="23">
                  <c:v>123639.76999999999</c:v>
                </c:pt>
                <c:pt idx="24">
                  <c:v>131235.41999999998</c:v>
                </c:pt>
                <c:pt idx="25">
                  <c:v>116862.19999999998</c:v>
                </c:pt>
                <c:pt idx="26">
                  <c:v>109666.48999999998</c:v>
                </c:pt>
                <c:pt idx="27">
                  <c:v>108850.41999999997</c:v>
                </c:pt>
                <c:pt idx="28">
                  <c:v>117363.62999999998</c:v>
                </c:pt>
                <c:pt idx="29">
                  <c:v>120265.69999999998</c:v>
                </c:pt>
                <c:pt idx="30">
                  <c:v>112843.59999999998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8B8-4D45-8352-148AEFB22AA0}"/>
            </c:ext>
          </c:extLst>
        </c:ser>
        <c:ser>
          <c:idx val="1"/>
          <c:order val="1"/>
          <c:tx>
            <c:strRef>
              <c:f>'Calculos 2'!$I$3</c:f>
              <c:strCache>
                <c:ptCount val="1"/>
                <c:pt idx="0">
                  <c:v>Valor Isolado</c:v>
                </c:pt>
              </c:strCache>
            </c:strRef>
          </c:tx>
          <c:spPr>
            <a:ln w="28575" cap="rnd">
              <a:solidFill>
                <a:schemeClr val="accent4">
                  <a:tint val="77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'Calculos 2'!$G$4:$G$35</c:f>
              <c:strCache>
                <c:ptCount val="31"/>
                <c:pt idx="0">
                  <c:v>01/12/2025</c:v>
                </c:pt>
                <c:pt idx="1">
                  <c:v>02/12/2025</c:v>
                </c:pt>
                <c:pt idx="2">
                  <c:v>03/12/2025</c:v>
                </c:pt>
                <c:pt idx="3">
                  <c:v>04/12/2025</c:v>
                </c:pt>
                <c:pt idx="4">
                  <c:v>05/12/2025</c:v>
                </c:pt>
                <c:pt idx="5">
                  <c:v>06/12/2025</c:v>
                </c:pt>
                <c:pt idx="6">
                  <c:v>07/12/2025</c:v>
                </c:pt>
                <c:pt idx="7">
                  <c:v>08/12/2025</c:v>
                </c:pt>
                <c:pt idx="8">
                  <c:v>09/12/2025</c:v>
                </c:pt>
                <c:pt idx="9">
                  <c:v>10/12/2025</c:v>
                </c:pt>
                <c:pt idx="10">
                  <c:v>11/12/2025</c:v>
                </c:pt>
                <c:pt idx="11">
                  <c:v>12/12/2025</c:v>
                </c:pt>
                <c:pt idx="12">
                  <c:v>13/12/2025</c:v>
                </c:pt>
                <c:pt idx="13">
                  <c:v>14/12/2025</c:v>
                </c:pt>
                <c:pt idx="14">
                  <c:v>15/12/2025</c:v>
                </c:pt>
                <c:pt idx="15">
                  <c:v>16/12/2025</c:v>
                </c:pt>
                <c:pt idx="16">
                  <c:v>17/12/2025</c:v>
                </c:pt>
                <c:pt idx="17">
                  <c:v>18/12/2025</c:v>
                </c:pt>
                <c:pt idx="18">
                  <c:v>19/12/2025</c:v>
                </c:pt>
                <c:pt idx="19">
                  <c:v>20/12/2025</c:v>
                </c:pt>
                <c:pt idx="20">
                  <c:v>21/12/2025</c:v>
                </c:pt>
                <c:pt idx="21">
                  <c:v>22/12/2025</c:v>
                </c:pt>
                <c:pt idx="22">
                  <c:v>23/12/2025</c:v>
                </c:pt>
                <c:pt idx="23">
                  <c:v>24/12/2025</c:v>
                </c:pt>
                <c:pt idx="24">
                  <c:v>25/12/2025</c:v>
                </c:pt>
                <c:pt idx="25">
                  <c:v>26/12/2025</c:v>
                </c:pt>
                <c:pt idx="26">
                  <c:v>27/12/2025</c:v>
                </c:pt>
                <c:pt idx="27">
                  <c:v>28/12/2025</c:v>
                </c:pt>
                <c:pt idx="28">
                  <c:v>29/12/2025</c:v>
                </c:pt>
                <c:pt idx="29">
                  <c:v>30/12/2025</c:v>
                </c:pt>
                <c:pt idx="30">
                  <c:v>31/12/2025</c:v>
                </c:pt>
              </c:strCache>
            </c:strRef>
          </c:cat>
          <c:val>
            <c:numRef>
              <c:f>'Calculos 2'!$I$4:$I$35</c:f>
              <c:numCache>
                <c:formatCode>"R$"#,##0.00_);\("R$"#,##0.00\)</c:formatCode>
                <c:ptCount val="31"/>
                <c:pt idx="0">
                  <c:v>-8077.57</c:v>
                </c:pt>
                <c:pt idx="1">
                  <c:v>12475.71</c:v>
                </c:pt>
                <c:pt idx="2">
                  <c:v>338.91</c:v>
                </c:pt>
                <c:pt idx="3">
                  <c:v>-13191.06</c:v>
                </c:pt>
                <c:pt idx="4">
                  <c:v>4672.34</c:v>
                </c:pt>
                <c:pt idx="5">
                  <c:v>-1880.99</c:v>
                </c:pt>
                <c:pt idx="6">
                  <c:v>-5360.67</c:v>
                </c:pt>
                <c:pt idx="7">
                  <c:v>-17110.79</c:v>
                </c:pt>
                <c:pt idx="8">
                  <c:v>8123.76</c:v>
                </c:pt>
                <c:pt idx="9">
                  <c:v>17698.150000000001</c:v>
                </c:pt>
                <c:pt idx="10">
                  <c:v>12936.74</c:v>
                </c:pt>
                <c:pt idx="11">
                  <c:v>-6665.17</c:v>
                </c:pt>
                <c:pt idx="12">
                  <c:v>15204.63</c:v>
                </c:pt>
                <c:pt idx="13">
                  <c:v>18391.900000000001</c:v>
                </c:pt>
                <c:pt idx="14">
                  <c:v>-3821.62</c:v>
                </c:pt>
                <c:pt idx="15">
                  <c:v>18547.580000000002</c:v>
                </c:pt>
                <c:pt idx="16">
                  <c:v>1439.18</c:v>
                </c:pt>
                <c:pt idx="17">
                  <c:v>20609.23</c:v>
                </c:pt>
                <c:pt idx="18">
                  <c:v>10759.05</c:v>
                </c:pt>
                <c:pt idx="19">
                  <c:v>3840</c:v>
                </c:pt>
                <c:pt idx="20">
                  <c:v>-4950.42</c:v>
                </c:pt>
                <c:pt idx="21">
                  <c:v>3507.28</c:v>
                </c:pt>
                <c:pt idx="22">
                  <c:v>8181.9</c:v>
                </c:pt>
                <c:pt idx="23">
                  <c:v>27971.7</c:v>
                </c:pt>
                <c:pt idx="24">
                  <c:v>7595.65</c:v>
                </c:pt>
                <c:pt idx="25">
                  <c:v>-14373.22</c:v>
                </c:pt>
                <c:pt idx="26">
                  <c:v>-7195.71</c:v>
                </c:pt>
                <c:pt idx="27">
                  <c:v>-816.07</c:v>
                </c:pt>
                <c:pt idx="28">
                  <c:v>8513.2099999999991</c:v>
                </c:pt>
                <c:pt idx="29">
                  <c:v>2902.07</c:v>
                </c:pt>
                <c:pt idx="30">
                  <c:v>-7422.1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8B8-4D45-8352-148AEFB22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4130560"/>
        <c:axId val="290604272"/>
      </c:lineChart>
      <c:catAx>
        <c:axId val="634130560"/>
        <c:scaling>
          <c:orientation val="minMax"/>
        </c:scaling>
        <c:delete val="1"/>
        <c:axPos val="b"/>
        <c:numFmt formatCode="d/m;@" sourceLinked="0"/>
        <c:majorTickMark val="none"/>
        <c:minorTickMark val="none"/>
        <c:tickLblPos val="high"/>
        <c:crossAx val="290604272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29060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4130560"/>
        <c:crosses val="autoZero"/>
        <c:crossBetween val="between"/>
      </c:valAx>
      <c:spPr>
        <a:noFill/>
        <a:ln>
          <a:noFill/>
        </a:ln>
        <a:effectLst>
          <a:softEdge rad="0"/>
        </a:effectLst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b="0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8</xdr:col>
      <xdr:colOff>0</xdr:colOff>
      <xdr:row>5</xdr:row>
      <xdr:rowOff>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AEA57C5F-A2E9-5D5D-FFD2-6D6257B25938}"/>
            </a:ext>
          </a:extLst>
        </xdr:cNvPr>
        <xdr:cNvSpPr/>
      </xdr:nvSpPr>
      <xdr:spPr>
        <a:xfrm>
          <a:off x="2097464" y="180680"/>
          <a:ext cx="1602557" cy="738433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b="1"/>
        </a:p>
      </xdr:txBody>
    </xdr:sp>
    <xdr:clientData/>
  </xdr:twoCellAnchor>
  <xdr:twoCellAnchor>
    <xdr:from>
      <xdr:col>6</xdr:col>
      <xdr:colOff>0</xdr:colOff>
      <xdr:row>6</xdr:row>
      <xdr:rowOff>0</xdr:rowOff>
    </xdr:from>
    <xdr:to>
      <xdr:col>8</xdr:col>
      <xdr:colOff>0</xdr:colOff>
      <xdr:row>10</xdr:row>
      <xdr:rowOff>15240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8D37CC7F-343B-4BB5-9D22-5FE71CEB82DD}"/>
            </a:ext>
          </a:extLst>
        </xdr:cNvPr>
        <xdr:cNvSpPr/>
      </xdr:nvSpPr>
      <xdr:spPr>
        <a:xfrm>
          <a:off x="2097464" y="1115505"/>
          <a:ext cx="1602557" cy="745817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0</xdr:colOff>
      <xdr:row>1</xdr:row>
      <xdr:rowOff>0</xdr:rowOff>
    </xdr:from>
    <xdr:to>
      <xdr:col>13</xdr:col>
      <xdr:colOff>0</xdr:colOff>
      <xdr:row>10</xdr:row>
      <xdr:rowOff>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CADBCB6E-8092-452C-AA20-C71080CD4AD1}"/>
            </a:ext>
          </a:extLst>
        </xdr:cNvPr>
        <xdr:cNvSpPr/>
      </xdr:nvSpPr>
      <xdr:spPr>
        <a:xfrm>
          <a:off x="3888557" y="180680"/>
          <a:ext cx="2521670" cy="1626124"/>
        </a:xfrm>
        <a:prstGeom prst="roundRect">
          <a:avLst>
            <a:gd name="adj" fmla="val 626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</xdr:colOff>
      <xdr:row>11</xdr:row>
      <xdr:rowOff>0</xdr:rowOff>
    </xdr:from>
    <xdr:to>
      <xdr:col>11</xdr:col>
      <xdr:colOff>0</xdr:colOff>
      <xdr:row>20</xdr:row>
      <xdr:rowOff>0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9883D094-2139-40C7-8291-8A47AF069093}"/>
            </a:ext>
          </a:extLst>
        </xdr:cNvPr>
        <xdr:cNvSpPr/>
      </xdr:nvSpPr>
      <xdr:spPr>
        <a:xfrm>
          <a:off x="2097465" y="1987485"/>
          <a:ext cx="3393648" cy="1626123"/>
        </a:xfrm>
        <a:prstGeom prst="roundRect">
          <a:avLst>
            <a:gd name="adj" fmla="val 5355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8</xdr:col>
      <xdr:colOff>0</xdr:colOff>
      <xdr:row>3</xdr:row>
      <xdr:rowOff>0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F913BC7C-EC8D-B8FC-2156-8463C559FDB3}"/>
            </a:ext>
          </a:extLst>
        </xdr:cNvPr>
        <xdr:cNvSpPr txBox="1"/>
      </xdr:nvSpPr>
      <xdr:spPr>
        <a:xfrm>
          <a:off x="2103120" y="182880"/>
          <a:ext cx="1600200" cy="365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300" b="1">
              <a:solidFill>
                <a:schemeClr val="tx2">
                  <a:lumMod val="10000"/>
                  <a:lumOff val="90000"/>
                </a:schemeClr>
              </a:solidFill>
            </a:rPr>
            <a:t>Receita do Mês</a:t>
          </a:r>
        </a:p>
      </xdr:txBody>
    </xdr:sp>
    <xdr:clientData/>
  </xdr:twoCellAnchor>
  <xdr:twoCellAnchor>
    <xdr:from>
      <xdr:col>6</xdr:col>
      <xdr:colOff>0</xdr:colOff>
      <xdr:row>6</xdr:row>
      <xdr:rowOff>1</xdr:rowOff>
    </xdr:from>
    <xdr:to>
      <xdr:col>8</xdr:col>
      <xdr:colOff>0</xdr:colOff>
      <xdr:row>8</xdr:row>
      <xdr:rowOff>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C98D99A7-0A3B-7D8D-EA3F-908BCA66831C}"/>
            </a:ext>
          </a:extLst>
        </xdr:cNvPr>
        <xdr:cNvSpPr txBox="1"/>
      </xdr:nvSpPr>
      <xdr:spPr>
        <a:xfrm>
          <a:off x="2097464" y="1115506"/>
          <a:ext cx="1602557" cy="3692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300" b="1">
              <a:solidFill>
                <a:schemeClr val="tx2">
                  <a:lumMod val="10000"/>
                  <a:lumOff val="90000"/>
                </a:schemeClr>
              </a:solidFill>
            </a:rPr>
            <a:t>Despesa do Mês</a:t>
          </a:r>
        </a:p>
      </xdr:txBody>
    </xdr:sp>
    <xdr:clientData/>
  </xdr:twoCellAnchor>
  <xdr:twoCellAnchor>
    <xdr:from>
      <xdr:col>14</xdr:col>
      <xdr:colOff>0</xdr:colOff>
      <xdr:row>1</xdr:row>
      <xdr:rowOff>0</xdr:rowOff>
    </xdr:from>
    <xdr:to>
      <xdr:col>18</xdr:col>
      <xdr:colOff>0</xdr:colOff>
      <xdr:row>10</xdr:row>
      <xdr:rowOff>0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4CDCF11C-02B0-4DC0-B2F8-8A0710AA4BB3}"/>
            </a:ext>
          </a:extLst>
        </xdr:cNvPr>
        <xdr:cNvSpPr/>
      </xdr:nvSpPr>
      <xdr:spPr>
        <a:xfrm>
          <a:off x="6598763" y="180680"/>
          <a:ext cx="2521670" cy="1665402"/>
        </a:xfrm>
        <a:prstGeom prst="roundRect">
          <a:avLst>
            <a:gd name="adj" fmla="val 626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180680</xdr:colOff>
      <xdr:row>11</xdr:row>
      <xdr:rowOff>0</xdr:rowOff>
    </xdr:from>
    <xdr:to>
      <xdr:col>18</xdr:col>
      <xdr:colOff>0</xdr:colOff>
      <xdr:row>20</xdr:row>
      <xdr:rowOff>0</xdr:rowOff>
    </xdr:to>
    <xdr:sp macro="" textlink="">
      <xdr:nvSpPr>
        <xdr:cNvPr id="21" name="Retângulo: Cantos Arredondados 20">
          <a:extLst>
            <a:ext uri="{FF2B5EF4-FFF2-40B4-BE49-F238E27FC236}">
              <a16:creationId xmlns:a16="http://schemas.microsoft.com/office/drawing/2014/main" id="{95BC2270-92B7-451E-9C64-64EA53CE3478}"/>
            </a:ext>
          </a:extLst>
        </xdr:cNvPr>
        <xdr:cNvSpPr/>
      </xdr:nvSpPr>
      <xdr:spPr>
        <a:xfrm>
          <a:off x="5671793" y="1987485"/>
          <a:ext cx="3448640" cy="1626123"/>
        </a:xfrm>
        <a:prstGeom prst="roundRect">
          <a:avLst>
            <a:gd name="adj" fmla="val 5355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0</xdr:colOff>
      <xdr:row>20</xdr:row>
      <xdr:rowOff>180680</xdr:rowOff>
    </xdr:from>
    <xdr:to>
      <xdr:col>11</xdr:col>
      <xdr:colOff>1</xdr:colOff>
      <xdr:row>30</xdr:row>
      <xdr:rowOff>0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E283075C-0290-4D25-AC27-4AD3063B5278}"/>
            </a:ext>
          </a:extLst>
        </xdr:cNvPr>
        <xdr:cNvSpPr/>
      </xdr:nvSpPr>
      <xdr:spPr>
        <a:xfrm>
          <a:off x="2097464" y="3794288"/>
          <a:ext cx="3393650" cy="1626124"/>
        </a:xfrm>
        <a:prstGeom prst="roundRect">
          <a:avLst>
            <a:gd name="adj" fmla="val 5355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0</xdr:colOff>
      <xdr:row>21</xdr:row>
      <xdr:rowOff>0</xdr:rowOff>
    </xdr:from>
    <xdr:to>
      <xdr:col>18</xdr:col>
      <xdr:colOff>0</xdr:colOff>
      <xdr:row>30</xdr:row>
      <xdr:rowOff>1</xdr:rowOff>
    </xdr:to>
    <xdr:sp macro="" textlink="">
      <xdr:nvSpPr>
        <xdr:cNvPr id="23" name="Retângulo: Cantos Arredondados 22">
          <a:extLst>
            <a:ext uri="{FF2B5EF4-FFF2-40B4-BE49-F238E27FC236}">
              <a16:creationId xmlns:a16="http://schemas.microsoft.com/office/drawing/2014/main" id="{57A0DAA9-B5F6-4FAB-8F84-33ED22B1DD3F}"/>
            </a:ext>
          </a:extLst>
        </xdr:cNvPr>
        <xdr:cNvSpPr/>
      </xdr:nvSpPr>
      <xdr:spPr>
        <a:xfrm>
          <a:off x="5679649" y="3794289"/>
          <a:ext cx="3440784" cy="1626124"/>
        </a:xfrm>
        <a:prstGeom prst="roundRect">
          <a:avLst>
            <a:gd name="adj" fmla="val 5355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u="none"/>
        </a:p>
      </xdr:txBody>
    </xdr:sp>
    <xdr:clientData/>
  </xdr:twoCellAnchor>
  <xdr:twoCellAnchor>
    <xdr:from>
      <xdr:col>14</xdr:col>
      <xdr:colOff>0</xdr:colOff>
      <xdr:row>1</xdr:row>
      <xdr:rowOff>0</xdr:rowOff>
    </xdr:from>
    <xdr:to>
      <xdr:col>18</xdr:col>
      <xdr:colOff>0</xdr:colOff>
      <xdr:row>3</xdr:row>
      <xdr:rowOff>0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D962832D-BB38-4B8A-F702-19CAF9225840}"/>
            </a:ext>
          </a:extLst>
        </xdr:cNvPr>
        <xdr:cNvSpPr txBox="1"/>
      </xdr:nvSpPr>
      <xdr:spPr>
        <a:xfrm>
          <a:off x="6598763" y="180680"/>
          <a:ext cx="2521670" cy="3613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300" b="1">
              <a:solidFill>
                <a:schemeClr val="tx2">
                  <a:lumMod val="10000"/>
                  <a:lumOff val="90000"/>
                </a:schemeClr>
              </a:solidFill>
            </a:rPr>
            <a:t>Distribuição do</a:t>
          </a:r>
          <a:r>
            <a:rPr lang="pt-BR" sz="1300" b="1" baseline="0">
              <a:solidFill>
                <a:schemeClr val="tx2">
                  <a:lumMod val="10000"/>
                  <a:lumOff val="90000"/>
                </a:schemeClr>
              </a:solidFill>
            </a:rPr>
            <a:t> Mês</a:t>
          </a:r>
          <a:r>
            <a:rPr lang="pt-BR" sz="1300" b="1">
              <a:solidFill>
                <a:schemeClr val="tx2">
                  <a:lumMod val="10000"/>
                  <a:lumOff val="90000"/>
                </a:schemeClr>
              </a:solidFill>
            </a:rPr>
            <a:t> (Despesas)</a:t>
          </a:r>
          <a:endParaRPr lang="pt-BR" sz="1200" b="1">
            <a:solidFill>
              <a:schemeClr val="tx2">
                <a:lumMod val="10000"/>
                <a:lumOff val="90000"/>
              </a:schemeClr>
            </a:solidFill>
          </a:endParaRPr>
        </a:p>
      </xdr:txBody>
    </xdr:sp>
    <xdr:clientData/>
  </xdr:twoCellAnchor>
  <xdr:twoCellAnchor>
    <xdr:from>
      <xdr:col>9</xdr:col>
      <xdr:colOff>0</xdr:colOff>
      <xdr:row>1</xdr:row>
      <xdr:rowOff>0</xdr:rowOff>
    </xdr:from>
    <xdr:to>
      <xdr:col>13</xdr:col>
      <xdr:colOff>0</xdr:colOff>
      <xdr:row>3</xdr:row>
      <xdr:rowOff>0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70AB39D3-2E84-296D-1BA8-2875D1B05765}"/>
            </a:ext>
          </a:extLst>
        </xdr:cNvPr>
        <xdr:cNvSpPr txBox="1"/>
      </xdr:nvSpPr>
      <xdr:spPr>
        <a:xfrm>
          <a:off x="3888557" y="180680"/>
          <a:ext cx="2521670" cy="3613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300" b="1">
              <a:solidFill>
                <a:schemeClr val="tx2">
                  <a:lumMod val="10000"/>
                  <a:lumOff val="90000"/>
                </a:schemeClr>
              </a:solidFill>
            </a:rPr>
            <a:t>Distribuição do</a:t>
          </a:r>
          <a:r>
            <a:rPr lang="pt-BR" sz="1300" b="1" baseline="0">
              <a:solidFill>
                <a:schemeClr val="tx2">
                  <a:lumMod val="10000"/>
                  <a:lumOff val="90000"/>
                </a:schemeClr>
              </a:solidFill>
            </a:rPr>
            <a:t> Mês</a:t>
          </a:r>
          <a:r>
            <a:rPr lang="pt-BR" sz="1300" b="1">
              <a:solidFill>
                <a:schemeClr val="tx2">
                  <a:lumMod val="10000"/>
                  <a:lumOff val="90000"/>
                </a:schemeClr>
              </a:solidFill>
            </a:rPr>
            <a:t> (Receitas)</a:t>
          </a:r>
        </a:p>
      </xdr:txBody>
    </xdr:sp>
    <xdr:clientData/>
  </xdr:twoCellAnchor>
  <xdr:twoCellAnchor>
    <xdr:from>
      <xdr:col>6</xdr:col>
      <xdr:colOff>7856</xdr:colOff>
      <xdr:row>11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978C1900-8B31-426E-BC89-9088CC85D8B1}"/>
            </a:ext>
          </a:extLst>
        </xdr:cNvPr>
        <xdr:cNvSpPr txBox="1"/>
      </xdr:nvSpPr>
      <xdr:spPr>
        <a:xfrm>
          <a:off x="2105320" y="2026763"/>
          <a:ext cx="3385793" cy="3613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l"/>
          <a:r>
            <a:rPr lang="pt-BR" sz="1300" b="1">
              <a:solidFill>
                <a:schemeClr val="tx2">
                  <a:lumMod val="10000"/>
                  <a:lumOff val="90000"/>
                </a:schemeClr>
              </a:solidFill>
            </a:rPr>
            <a:t>  Receita</a:t>
          </a:r>
          <a:r>
            <a:rPr lang="pt-BR" sz="1300" b="1" baseline="0">
              <a:solidFill>
                <a:schemeClr val="tx2">
                  <a:lumMod val="10000"/>
                  <a:lumOff val="90000"/>
                </a:schemeClr>
              </a:solidFill>
            </a:rPr>
            <a:t> Líquida do Mês</a:t>
          </a:r>
          <a:endParaRPr lang="pt-BR" sz="1300" b="1">
            <a:solidFill>
              <a:schemeClr val="tx2">
                <a:lumMod val="10000"/>
                <a:lumOff val="90000"/>
              </a:schemeClr>
            </a:solidFill>
          </a:endParaRPr>
        </a:p>
      </xdr:txBody>
    </xdr:sp>
    <xdr:clientData/>
  </xdr:twoCellAnchor>
  <xdr:twoCellAnchor>
    <xdr:from>
      <xdr:col>6</xdr:col>
      <xdr:colOff>0</xdr:colOff>
      <xdr:row>21</xdr:row>
      <xdr:rowOff>0</xdr:rowOff>
    </xdr:from>
    <xdr:to>
      <xdr:col>11</xdr:col>
      <xdr:colOff>0</xdr:colOff>
      <xdr:row>23</xdr:row>
      <xdr:rowOff>1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1AD4CE82-BC16-4A3F-8424-548ED501ECB3}"/>
            </a:ext>
          </a:extLst>
        </xdr:cNvPr>
        <xdr:cNvSpPr txBox="1"/>
      </xdr:nvSpPr>
      <xdr:spPr>
        <a:xfrm>
          <a:off x="2097464" y="3794289"/>
          <a:ext cx="3393649" cy="3613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300" b="1" i="0" u="none" strike="noStrike" kern="0" cap="none" spc="0" normalizeH="0" baseline="0" noProof="0">
              <a:ln>
                <a:noFill/>
              </a:ln>
              <a:solidFill>
                <a:srgbClr val="0E2841">
                  <a:lumMod val="10000"/>
                  <a:lumOff val="9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  Receitas Líquida do Ano</a:t>
          </a:r>
        </a:p>
      </xdr:txBody>
    </xdr:sp>
    <xdr:clientData/>
  </xdr:twoCellAnchor>
  <xdr:twoCellAnchor>
    <xdr:from>
      <xdr:col>6</xdr:col>
      <xdr:colOff>0</xdr:colOff>
      <xdr:row>3</xdr:row>
      <xdr:rowOff>0</xdr:rowOff>
    </xdr:from>
    <xdr:to>
      <xdr:col>8</xdr:col>
      <xdr:colOff>0</xdr:colOff>
      <xdr:row>5</xdr:row>
      <xdr:rowOff>0</xdr:rowOff>
    </xdr:to>
    <xdr:sp macro="" textlink="#REF!">
      <xdr:nvSpPr>
        <xdr:cNvPr id="12" name="ReceitaMes">
          <a:extLst>
            <a:ext uri="{FF2B5EF4-FFF2-40B4-BE49-F238E27FC236}">
              <a16:creationId xmlns:a16="http://schemas.microsoft.com/office/drawing/2014/main" id="{89710A31-9407-1992-A9AC-43E4C7EF5FDF}"/>
            </a:ext>
          </a:extLst>
        </xdr:cNvPr>
        <xdr:cNvSpPr txBox="1"/>
      </xdr:nvSpPr>
      <xdr:spPr>
        <a:xfrm>
          <a:off x="2097464" y="542041"/>
          <a:ext cx="1602557" cy="3770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70AE325-CF84-4EE5-BCEF-EE23B616B6B8}" type="TxLink">
            <a:rPr lang="en-US" sz="1200" b="1" i="0" u="none" strike="noStrike">
              <a:solidFill>
                <a:srgbClr val="83E28E"/>
              </a:solidFill>
              <a:latin typeface="Aptos Narrow"/>
            </a:rPr>
            <a:pPr algn="ctr"/>
            <a:t>R$ 428.132,13</a:t>
          </a:fld>
          <a:endParaRPr lang="en-US" sz="1200" b="1">
            <a:solidFill>
              <a:schemeClr val="accent1">
                <a:lumMod val="40000"/>
                <a:lumOff val="60000"/>
              </a:schemeClr>
            </a:solidFill>
          </a:endParaRP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8</xdr:col>
      <xdr:colOff>0</xdr:colOff>
      <xdr:row>10</xdr:row>
      <xdr:rowOff>0</xdr:rowOff>
    </xdr:to>
    <xdr:sp macro="" textlink="#REF!">
      <xdr:nvSpPr>
        <xdr:cNvPr id="13" name="CaixaDeTexto 12">
          <a:extLst>
            <a:ext uri="{FF2B5EF4-FFF2-40B4-BE49-F238E27FC236}">
              <a16:creationId xmlns:a16="http://schemas.microsoft.com/office/drawing/2014/main" id="{C99CF23E-5788-0F1D-FF1E-7769955A854C}"/>
            </a:ext>
          </a:extLst>
        </xdr:cNvPr>
        <xdr:cNvSpPr txBox="1"/>
      </xdr:nvSpPr>
      <xdr:spPr>
        <a:xfrm>
          <a:off x="2097464" y="1484722"/>
          <a:ext cx="1602557" cy="361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5F863D9-9E1E-4CC5-8E53-6AA0FBD74C41}" type="TxLink">
            <a:rPr lang="en-US" sz="1200" b="1" i="0" u="none" strike="noStrike">
              <a:solidFill>
                <a:srgbClr val="F1A983"/>
              </a:solidFill>
              <a:latin typeface="Aptos Narrow"/>
            </a:rPr>
            <a:pPr algn="ctr"/>
            <a:t>R$ 315.288,53</a:t>
          </a:fld>
          <a:endParaRPr lang="pt-BR" sz="1200" b="1">
            <a:solidFill>
              <a:schemeClr val="accent2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12</xdr:col>
      <xdr:colOff>0</xdr:colOff>
      <xdr:row>11</xdr:row>
      <xdr:rowOff>1</xdr:rowOff>
    </xdr:from>
    <xdr:to>
      <xdr:col>15</xdr:col>
      <xdr:colOff>0</xdr:colOff>
      <xdr:row>13</xdr:row>
      <xdr:rowOff>0</xdr:rowOff>
    </xdr:to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614D4EF8-2D52-4226-8354-2484796B27AF}"/>
            </a:ext>
          </a:extLst>
        </xdr:cNvPr>
        <xdr:cNvSpPr txBox="1"/>
      </xdr:nvSpPr>
      <xdr:spPr>
        <a:xfrm>
          <a:off x="5679649" y="1987486"/>
          <a:ext cx="1649691" cy="3613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l"/>
          <a:r>
            <a:rPr lang="pt-BR" sz="1300" b="1">
              <a:solidFill>
                <a:schemeClr val="tx2">
                  <a:lumMod val="10000"/>
                  <a:lumOff val="90000"/>
                </a:schemeClr>
              </a:solidFill>
            </a:rPr>
            <a:t>  Receitas</a:t>
          </a:r>
          <a:r>
            <a:rPr lang="pt-BR" sz="1300" b="1" baseline="0">
              <a:solidFill>
                <a:schemeClr val="tx2">
                  <a:lumMod val="10000"/>
                  <a:lumOff val="90000"/>
                </a:schemeClr>
              </a:solidFill>
            </a:rPr>
            <a:t> Mensais</a:t>
          </a:r>
          <a:endParaRPr lang="pt-BR" sz="1300" b="1">
            <a:solidFill>
              <a:schemeClr val="tx2">
                <a:lumMod val="10000"/>
                <a:lumOff val="90000"/>
              </a:schemeClr>
            </a:solidFill>
          </a:endParaRPr>
        </a:p>
      </xdr:txBody>
    </xdr:sp>
    <xdr:clientData/>
  </xdr:twoCellAnchor>
  <xdr:twoCellAnchor>
    <xdr:from>
      <xdr:col>15</xdr:col>
      <xdr:colOff>0</xdr:colOff>
      <xdr:row>11</xdr:row>
      <xdr:rowOff>0</xdr:rowOff>
    </xdr:from>
    <xdr:to>
      <xdr:col>18</xdr:col>
      <xdr:colOff>0</xdr:colOff>
      <xdr:row>13</xdr:row>
      <xdr:rowOff>0</xdr:rowOff>
    </xdr:to>
    <xdr:sp macro="" textlink="#REF!">
      <xdr:nvSpPr>
        <xdr:cNvPr id="14" name="CaixaDeTexto 13">
          <a:extLst>
            <a:ext uri="{FF2B5EF4-FFF2-40B4-BE49-F238E27FC236}">
              <a16:creationId xmlns:a16="http://schemas.microsoft.com/office/drawing/2014/main" id="{BD1DE205-78FB-861A-0A10-E891B26D6189}"/>
            </a:ext>
          </a:extLst>
        </xdr:cNvPr>
        <xdr:cNvSpPr txBox="1"/>
      </xdr:nvSpPr>
      <xdr:spPr>
        <a:xfrm>
          <a:off x="7329340" y="1987485"/>
          <a:ext cx="1791093" cy="361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9F5AE55D-F677-4679-B054-9C381FB93853}" type="TxLink">
            <a:rPr lang="en-US" sz="1200" b="1" i="0" u="none" strike="noStrike">
              <a:solidFill>
                <a:srgbClr val="8ED973"/>
              </a:solidFill>
              <a:latin typeface="Aptos Narrow"/>
            </a:rPr>
            <a:pPr algn="r"/>
            <a:t>Total: R$ 4.670.000,00</a:t>
          </a:fld>
          <a:endParaRPr lang="pt-BR" sz="1100" b="1">
            <a:solidFill>
              <a:schemeClr val="accent4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12</xdr:col>
      <xdr:colOff>0</xdr:colOff>
      <xdr:row>21</xdr:row>
      <xdr:rowOff>0</xdr:rowOff>
    </xdr:from>
    <xdr:to>
      <xdr:col>15</xdr:col>
      <xdr:colOff>0</xdr:colOff>
      <xdr:row>23</xdr:row>
      <xdr:rowOff>1</xdr:rowOff>
    </xdr:to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9B07C0D3-1E09-A829-9492-307BAF3454C0}"/>
            </a:ext>
          </a:extLst>
        </xdr:cNvPr>
        <xdr:cNvSpPr txBox="1"/>
      </xdr:nvSpPr>
      <xdr:spPr>
        <a:xfrm>
          <a:off x="5679649" y="3794289"/>
          <a:ext cx="1649691" cy="3613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l"/>
          <a:r>
            <a:rPr lang="pt-BR" sz="1300" b="1">
              <a:solidFill>
                <a:schemeClr val="tx2">
                  <a:lumMod val="10000"/>
                  <a:lumOff val="90000"/>
                </a:schemeClr>
              </a:solidFill>
            </a:rPr>
            <a:t>  Despesas</a:t>
          </a:r>
          <a:r>
            <a:rPr lang="pt-BR" sz="1300" b="1" baseline="0">
              <a:solidFill>
                <a:schemeClr val="tx2">
                  <a:lumMod val="10000"/>
                  <a:lumOff val="90000"/>
                </a:schemeClr>
              </a:solidFill>
            </a:rPr>
            <a:t> Mensais</a:t>
          </a:r>
          <a:endParaRPr lang="pt-BR" sz="1300" b="1">
            <a:solidFill>
              <a:schemeClr val="tx2">
                <a:lumMod val="10000"/>
                <a:lumOff val="90000"/>
              </a:schemeClr>
            </a:solidFill>
          </a:endParaRPr>
        </a:p>
      </xdr:txBody>
    </xdr:sp>
    <xdr:clientData/>
  </xdr:twoCellAnchor>
  <xdr:twoCellAnchor>
    <xdr:from>
      <xdr:col>15</xdr:col>
      <xdr:colOff>0</xdr:colOff>
      <xdr:row>21</xdr:row>
      <xdr:rowOff>0</xdr:rowOff>
    </xdr:from>
    <xdr:to>
      <xdr:col>18</xdr:col>
      <xdr:colOff>0</xdr:colOff>
      <xdr:row>23</xdr:row>
      <xdr:rowOff>1</xdr:rowOff>
    </xdr:to>
    <xdr:sp macro="" textlink="#REF!">
      <xdr:nvSpPr>
        <xdr:cNvPr id="16" name="CaixaDeTexto 15">
          <a:extLst>
            <a:ext uri="{FF2B5EF4-FFF2-40B4-BE49-F238E27FC236}">
              <a16:creationId xmlns:a16="http://schemas.microsoft.com/office/drawing/2014/main" id="{43D7FD7D-AC94-4579-9A60-156C066E86C1}"/>
            </a:ext>
          </a:extLst>
        </xdr:cNvPr>
        <xdr:cNvSpPr txBox="1"/>
      </xdr:nvSpPr>
      <xdr:spPr>
        <a:xfrm>
          <a:off x="7329340" y="3794289"/>
          <a:ext cx="1791093" cy="3613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553F6950-1B6F-4332-8F41-72FB6A9534E0}" type="TxLink">
            <a:rPr lang="en-US" sz="1200" b="1" i="0" u="none" strike="noStrike">
              <a:solidFill>
                <a:srgbClr val="F1A983"/>
              </a:solidFill>
              <a:latin typeface="Aptos Narrow"/>
            </a:rPr>
            <a:pPr algn="r"/>
            <a:t>Total: R$ 4.203.000,00</a:t>
          </a:fld>
          <a:endParaRPr lang="en-US"/>
        </a:p>
      </xdr:txBody>
    </xdr:sp>
    <xdr:clientData/>
  </xdr:twoCellAnchor>
  <xdr:twoCellAnchor>
    <xdr:from>
      <xdr:col>9</xdr:col>
      <xdr:colOff>0</xdr:colOff>
      <xdr:row>3</xdr:row>
      <xdr:rowOff>0</xdr:rowOff>
    </xdr:from>
    <xdr:to>
      <xdr:col>13</xdr:col>
      <xdr:colOff>0</xdr:colOff>
      <xdr:row>10</xdr:row>
      <xdr:rowOff>0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646F1AAD-6DDF-2586-BA2D-62D7E0AEC6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</xdr:row>
      <xdr:rowOff>0</xdr:rowOff>
    </xdr:from>
    <xdr:to>
      <xdr:col>18</xdr:col>
      <xdr:colOff>0</xdr:colOff>
      <xdr:row>10</xdr:row>
      <xdr:rowOff>0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FD522AF8-88DF-F9F8-7CA5-1CCF0C3337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180680</xdr:colOff>
      <xdr:row>12</xdr:row>
      <xdr:rowOff>147686</xdr:rowOff>
    </xdr:from>
    <xdr:to>
      <xdr:col>17</xdr:col>
      <xdr:colOff>793422</xdr:colOff>
      <xdr:row>20</xdr:row>
      <xdr:rowOff>0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BF6BFD1C-1E02-3E46-CCA0-5A8AA0222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23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5EB38BF1-2395-107C-B175-6302FD4B5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8</xdr:row>
      <xdr:rowOff>0</xdr:rowOff>
    </xdr:from>
    <xdr:to>
      <xdr:col>4</xdr:col>
      <xdr:colOff>0</xdr:colOff>
      <xdr:row>20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4" name="Mês">
              <a:extLst>
                <a:ext uri="{FF2B5EF4-FFF2-40B4-BE49-F238E27FC236}">
                  <a16:creationId xmlns:a16="http://schemas.microsoft.com/office/drawing/2014/main" id="{E82AE4B8-68C6-497D-8C87-5051C2B381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536" y="1445443"/>
              <a:ext cx="1531856" cy="21681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6</xdr:col>
      <xdr:colOff>0</xdr:colOff>
      <xdr:row>23</xdr:row>
      <xdr:rowOff>0</xdr:rowOff>
    </xdr:from>
    <xdr:to>
      <xdr:col>11</xdr:col>
      <xdr:colOff>0</xdr:colOff>
      <xdr:row>30</xdr:row>
      <xdr:rowOff>0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F7A7ACE0-1EE5-8D82-4B27-8657F39AB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11</xdr:col>
      <xdr:colOff>0</xdr:colOff>
      <xdr:row>20</xdr:row>
      <xdr:rowOff>0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AEB5CF71-355F-44D8-39E7-5E0F7B4B6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9</xdr:col>
          <xdr:colOff>0</xdr:colOff>
          <xdr:row>0</xdr:row>
          <xdr:rowOff>0</xdr:rowOff>
        </xdr:from>
        <xdr:to>
          <xdr:col>10</xdr:col>
          <xdr:colOff>0</xdr:colOff>
          <xdr:row>2</xdr:row>
          <xdr:rowOff>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3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Aptos Narrow"/>
                </a:rPr>
                <a:t>Limpar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0</xdr:colOff>
          <xdr:row>0</xdr:row>
          <xdr:rowOff>0</xdr:rowOff>
        </xdr:from>
        <xdr:to>
          <xdr:col>7</xdr:col>
          <xdr:colOff>1082040</xdr:colOff>
          <xdr:row>2</xdr:row>
          <xdr:rowOff>0</xdr:rowOff>
        </xdr:to>
        <xdr:sp macro="" textlink="">
          <xdr:nvSpPr>
            <xdr:cNvPr id="2051" name="Butto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3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Aptos Narrow"/>
                </a:rPr>
                <a:t>Atualizar</a:t>
              </a:r>
            </a:p>
          </xdr:txBody>
        </xdr:sp>
        <xdr:clientData fPrintsWithSheet="0"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UILHERME FERREIRA COSTA" id="{5D9A6B6A-C3DF-4AA8-8F89-0FC5498F3AD8}" userId="S::guilherme.fcosta14@senacsp.edu.br::74c1397f-4e37-4ebe-b18b-8961a32a30a6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uilherme Ferreira" refreshedDate="46271.597473379632" createdVersion="8" refreshedVersion="8" minRefreshableVersion="3" recordCount="0" supportSubquery="1" supportAdvancedDrill="1" xr:uid="{8D71D9CE-D0DD-466D-B3CC-8D2E22EBCE50}">
  <cacheSource type="external" connectionId="2"/>
  <cacheFields count="6">
    <cacheField name="[Lançamentos].[Tipo].[Tipo]" caption="Tipo" numFmtId="0" hierarchy="10" level="1">
      <sharedItems containsSemiMixedTypes="0" containsNonDate="0" containsString="0"/>
    </cacheField>
    <cacheField name="[Measures].[Soma de Valor]" caption="Soma de Valor" numFmtId="0" hierarchy="18" level="32767"/>
    <cacheField name="[Lançamentos].[Data de Emissão (Mês)].[Data de Emissão (Mês)]" caption="Data de Emissão (Mês)" numFmtId="0" hierarchy="16" level="1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[Calendário].[Hierarquia de Datas].[Ano]" caption="Ano" numFmtId="0" hierarchy="4" level="1">
      <sharedItems containsSemiMixedTypes="0" containsNonDate="0" containsString="0"/>
    </cacheField>
    <cacheField name="[Calendário].[Hierarquia de Datas].[Mês]" caption="Mês" numFmtId="0" hierarchy="4" level="2">
      <sharedItems containsSemiMixedTypes="0" containsNonDate="0" containsString="0"/>
    </cacheField>
    <cacheField name="[Calendário].[Hierarquia de Datas].[DateColumn]" caption="DateColumn" numFmtId="0" hierarchy="4" level="3">
      <sharedItems containsSemiMixedTypes="0" containsNonDate="0" containsString="0"/>
    </cacheField>
  </cacheFields>
  <cacheHierarchies count="23">
    <cacheHierarchy uniqueName="[Calendário].[Date]" caption="Date" attribute="1" time="1" keyAttribute="1" defaultMemberUniqueName="[Calendário].[Date].[All]" allUniqueName="[Calendário].[Date].[All]" dimensionUniqueName="[Calendário]" displayFolder="" count="0" memberValueDatatype="7" unbalanced="0"/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Número do Mês]" caption="Número do Mês" attribute="1" time="1" defaultMemberUniqueName="[Calendário].[Número do Mês].[All]" allUniqueName="[Calendário].[Número do Mês].[All]" dimensionUniqueName="[Calendário]" displayFolder="" count="0" memberValueDatatype="20" unbalanced="0"/>
    <cacheHierarchy uniqueName="[Calendário].[Mês]" caption="Mês" attribute="1" time="1" defaultMemberUniqueName="[Calendário].[Mês].[All]" allUniqueName="[Calendário].[Mês].[All]" dimensionUniqueName="[Calendário]" displayFolder="" count="0" memberValueDatatype="130" unbalanced="0"/>
    <cacheHierarchy uniqueName="[Calendário].[Hierarquia de Datas]" caption="Hierarquia de Datas" time="1" defaultMemberUniqueName="[Calendário].[Hierarquia de Datas].[All]" allUniqueName="[Calendário].[Hierarquia de Datas].[All]" dimensionUniqueName="[Calendário]" displayFolder="" count="4" unbalanced="0">
      <fieldsUsage count="4">
        <fieldUsage x="-1"/>
        <fieldUsage x="3"/>
        <fieldUsage x="4"/>
        <fieldUsage x="5"/>
      </fieldsUsage>
    </cacheHierarchy>
    <cacheHierarchy uniqueName="[Calendário].[MMM-AAAA]" caption="MMM-AAAA" attribute="1" time="1" defaultMemberUniqueName="[Calendário].[MMM-AAAA].[All]" allUniqueName="[Calendário].[MMM-AAAA].[All]" dimensionUniqueName="[Calendário]" displayFolder="" count="0" memberValueDatatype="130" unbalanced="0"/>
    <cacheHierarchy uniqueName="[Calendário].[Dia do Número da Semana]" caption="Dia do Número da Semana" attribute="1" time="1" defaultMemberUniqueName="[Calendário].[Dia do Número da Semana].[All]" allUniqueName="[Calendário].[Dia do Número da Semana].[All]" dimensionUniqueName="[Calendário]" displayFolder="" count="0" memberValueDatatype="20" unbalanced="0"/>
    <cacheHierarchy uniqueName="[Calendário].[Dia da Semana]" caption="Dia da Semana" attribute="1" time="1" defaultMemberUniqueName="[Calendário].[Dia da Semana].[All]" allUniqueName="[Calendário].[Dia da Semana].[All]" dimensionUniqueName="[Calendário]" displayFolder="" count="0" memberValueDatatype="130" unbalanced="0"/>
    <cacheHierarchy uniqueName="[Lançamentos].[ID]" caption="ID" attribute="1" defaultMemberUniqueName="[Lançamentos].[ID].[All]" allUniqueName="[Lançamentos].[ID].[All]" dimensionUniqueName="[Lançamentos]" displayFolder="" count="0" memberValueDatatype="20" unbalanced="0"/>
    <cacheHierarchy uniqueName="[Lançamentos].[Data de Emissão]" caption="Data de Emissão" attribute="1" time="1" defaultMemberUniqueName="[Lançamentos].[Data de Emissão].[All]" allUniqueName="[Lançamentos].[Data de Emissão].[All]" dimensionUniqueName="[Lançamentos]" displayFolder="" count="0" memberValueDatatype="7" unbalanced="0"/>
    <cacheHierarchy uniqueName="[Lançamentos].[Tipo]" caption="Tipo" attribute="1" defaultMemberUniqueName="[Lançamentos].[Tipo].[All]" allUniqueName="[Lançamentos].[Tipo].[All]" dimensionUniqueName="[Lançamentos]" displayFolder="" count="2" memberValueDatatype="130" unbalanced="0">
      <fieldsUsage count="2">
        <fieldUsage x="-1"/>
        <fieldUsage x="0"/>
      </fieldsUsage>
    </cacheHierarchy>
    <cacheHierarchy uniqueName="[Lançamentos].[Categoria]" caption="Categoria" attribute="1" defaultMemberUniqueName="[Lançamentos].[Categoria].[All]" allUniqueName="[Lançamentos].[Categoria].[All]" dimensionUniqueName="[Lançamentos]" displayFolder="" count="0" memberValueDatatype="130" unbalanced="0"/>
    <cacheHierarchy uniqueName="[Lançamentos].[Descrição]" caption="Descrição" attribute="1" defaultMemberUniqueName="[Lançamentos].[Descrição].[All]" allUniqueName="[Lançamentos].[Descrição].[All]" dimensionUniqueName="[Lançamentos]" displayFolder="" count="0" memberValueDatatype="130" unbalanced="0"/>
    <cacheHierarchy uniqueName="[Lançamentos].[Valor]" caption="Valor" attribute="1" defaultMemberUniqueName="[Lançamentos].[Valor].[All]" allUniqueName="[Lançamentos].[Valor].[All]" dimensionUniqueName="[Lançamentos]" displayFolder="" count="0" memberValueDatatype="5" unbalanced="0"/>
    <cacheHierarchy uniqueName="[Lançamentos].[Status]" caption="Status" attribute="1" defaultMemberUniqueName="[Lançamentos].[Status].[All]" allUniqueName="[Lançamentos].[Status].[All]" dimensionUniqueName="[Lançamentos]" displayFolder="" count="0" memberValueDatatype="130" unbalanced="0"/>
    <cacheHierarchy uniqueName="[Lançamentos].[Valor Real]" caption="Valor Real" attribute="1" defaultMemberUniqueName="[Lançamentos].[Valor Real].[All]" allUniqueName="[Lançamentos].[Valor Real].[All]" dimensionUniqueName="[Lançamentos]" displayFolder="" count="0" memberValueDatatype="5" unbalanced="0"/>
    <cacheHierarchy uniqueName="[Lançamentos].[Data de Emissão (Mês)]" caption="Data de Emissão (Mês)" attribute="1" defaultMemberUniqueName="[Lançamentos].[Data de Emissão (Mês)].[All]" allUniqueName="[Lançamentos].[Data de Emissão (Mês)].[All]" dimensionUniqueName="[Lançamentos]" displayFolder="" count="2" memberValueDatatype="130" unbalanced="0">
      <fieldsUsage count="2">
        <fieldUsage x="-1"/>
        <fieldUsage x="2"/>
      </fieldsUsage>
    </cacheHierarchy>
    <cacheHierarchy uniqueName="[Lançamentos].[Data de Emissão (Índice de Mês)]" caption="Data de Emissão (Índice de Mês)" attribute="1" defaultMemberUniqueName="[Lançamentos].[Data de Emissão (Índice de Mês)].[All]" allUniqueName="[Lançamentos].[Data de Emissão (Índice de Mês)].[All]" dimensionUniqueName="[Lançamentos]" displayFolder="" count="0" memberValueDatatype="20" unbalanced="0" hidden="1"/>
    <cacheHierarchy uniqueName="[Measures].[Soma de Valor]" caption="Soma de Valor" measure="1" displayFolder="" measureGroup="Lançamento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a de Valor Real]" caption="Soma de Valor Real" measure="1" displayFolder="" measureGroup="Lançamento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__XL_Count DataBase]" caption="__XL_Count DataBase" measure="1" displayFolder="" measureGroup="Lançamentos" count="0" hidden="1"/>
    <cacheHierarchy uniqueName="[Measures].[__XL_Count Calendário]" caption="__XL_Count Calendário" measure="1" displayFolder="" measureGroup="Calendário" count="0" hidden="1"/>
    <cacheHierarchy uniqueName="[Measures].[__Não há medidas definidas]" caption="__Não há medidas definidas" measure="1" displayFolder="" count="0" hidden="1"/>
  </cacheHierarchies>
  <kpis count="0"/>
  <dimensions count="3">
    <dimension name="Calendário" uniqueName="[Calendário]" caption="Calendário"/>
    <dimension name="Lançamentos" uniqueName="[Lançamentos]" caption="Lançamentos"/>
    <dimension measure="1" name="Measures" uniqueName="[Measures]" caption="Measures"/>
  </dimensions>
  <measureGroups count="2">
    <measureGroup name="Calendário" caption="Calendário"/>
    <measureGroup name="Lançamentos" caption="Lançamento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uilherme Ferreira" refreshedDate="46271.597474421294" createdVersion="8" refreshedVersion="8" minRefreshableVersion="3" recordCount="0" supportSubquery="1" supportAdvancedDrill="1" xr:uid="{059BA274-38DE-44A4-90A4-6F3F28837B7B}">
  <cacheSource type="external" connectionId="2"/>
  <cacheFields count="6">
    <cacheField name="[Measures].[Soma de Valor]" caption="Soma de Valor" numFmtId="0" hierarchy="18" level="32767"/>
    <cacheField name="[Lançamentos].[Tipo].[Tipo]" caption="Tipo" numFmtId="0" hierarchy="10" level="1">
      <sharedItems containsSemiMixedTypes="0" containsNonDate="0" containsString="0"/>
    </cacheField>
    <cacheField name="[Lançamentos].[Data de Emissão (Mês)].[Data de Emissão (Mês)]" caption="Data de Emissão (Mês)" numFmtId="0" hierarchy="16" level="1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[Calendário].[Hierarquia de Datas].[Ano]" caption="Ano" numFmtId="0" hierarchy="4" level="1">
      <sharedItems containsSemiMixedTypes="0" containsNonDate="0" containsString="0"/>
    </cacheField>
    <cacheField name="[Calendário].[Hierarquia de Datas].[Mês]" caption="Mês" numFmtId="0" hierarchy="4" level="2">
      <sharedItems containsSemiMixedTypes="0" containsNonDate="0" containsString="0"/>
    </cacheField>
    <cacheField name="[Calendário].[Hierarquia de Datas].[DateColumn]" caption="DateColumn" numFmtId="0" hierarchy="4" level="3">
      <sharedItems containsSemiMixedTypes="0" containsNonDate="0" containsString="0"/>
    </cacheField>
  </cacheFields>
  <cacheHierarchies count="23">
    <cacheHierarchy uniqueName="[Calendário].[Date]" caption="Date" attribute="1" time="1" keyAttribute="1" defaultMemberUniqueName="[Calendário].[Date].[All]" allUniqueName="[Calendário].[Date].[All]" dimensionUniqueName="[Calendário]" displayFolder="" count="0" memberValueDatatype="7" unbalanced="0"/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Número do Mês]" caption="Número do Mês" attribute="1" time="1" defaultMemberUniqueName="[Calendário].[Número do Mês].[All]" allUniqueName="[Calendário].[Número do Mês].[All]" dimensionUniqueName="[Calendário]" displayFolder="" count="0" memberValueDatatype="20" unbalanced="0"/>
    <cacheHierarchy uniqueName="[Calendário].[Mês]" caption="Mês" attribute="1" time="1" defaultMemberUniqueName="[Calendário].[Mês].[All]" allUniqueName="[Calendário].[Mês].[All]" dimensionUniqueName="[Calendário]" displayFolder="" count="0" memberValueDatatype="130" unbalanced="0"/>
    <cacheHierarchy uniqueName="[Calendário].[Hierarquia de Datas]" caption="Hierarquia de Datas" time="1" defaultMemberUniqueName="[Calendário].[Hierarquia de Datas].[All]" allUniqueName="[Calendário].[Hierarquia de Datas].[All]" dimensionUniqueName="[Calendário]" displayFolder="" count="4" unbalanced="0">
      <fieldsUsage count="4">
        <fieldUsage x="-1"/>
        <fieldUsage x="3"/>
        <fieldUsage x="4"/>
        <fieldUsage x="5"/>
      </fieldsUsage>
    </cacheHierarchy>
    <cacheHierarchy uniqueName="[Calendário].[MMM-AAAA]" caption="MMM-AAAA" attribute="1" time="1" defaultMemberUniqueName="[Calendário].[MMM-AAAA].[All]" allUniqueName="[Calendário].[MMM-AAAA].[All]" dimensionUniqueName="[Calendário]" displayFolder="" count="0" memberValueDatatype="130" unbalanced="0"/>
    <cacheHierarchy uniqueName="[Calendário].[Dia do Número da Semana]" caption="Dia do Número da Semana" attribute="1" time="1" defaultMemberUniqueName="[Calendário].[Dia do Número da Semana].[All]" allUniqueName="[Calendário].[Dia do Número da Semana].[All]" dimensionUniqueName="[Calendário]" displayFolder="" count="0" memberValueDatatype="20" unbalanced="0"/>
    <cacheHierarchy uniqueName="[Calendário].[Dia da Semana]" caption="Dia da Semana" attribute="1" time="1" defaultMemberUniqueName="[Calendário].[Dia da Semana].[All]" allUniqueName="[Calendário].[Dia da Semana].[All]" dimensionUniqueName="[Calendário]" displayFolder="" count="0" memberValueDatatype="130" unbalanced="0"/>
    <cacheHierarchy uniqueName="[Lançamentos].[ID]" caption="ID" attribute="1" defaultMemberUniqueName="[Lançamentos].[ID].[All]" allUniqueName="[Lançamentos].[ID].[All]" dimensionUniqueName="[Lançamentos]" displayFolder="" count="0" memberValueDatatype="20" unbalanced="0"/>
    <cacheHierarchy uniqueName="[Lançamentos].[Data de Emissão]" caption="Data de Emissão" attribute="1" time="1" defaultMemberUniqueName="[Lançamentos].[Data de Emissão].[All]" allUniqueName="[Lançamentos].[Data de Emissão].[All]" dimensionUniqueName="[Lançamentos]" displayFolder="" count="0" memberValueDatatype="7" unbalanced="0"/>
    <cacheHierarchy uniqueName="[Lançamentos].[Tipo]" caption="Tipo" attribute="1" defaultMemberUniqueName="[Lançamentos].[Tipo].[All]" allUniqueName="[Lançamentos].[Tipo].[All]" dimensionUniqueName="[Lançamentos]" displayFolder="" count="2" memberValueDatatype="130" unbalanced="0">
      <fieldsUsage count="2">
        <fieldUsage x="-1"/>
        <fieldUsage x="1"/>
      </fieldsUsage>
    </cacheHierarchy>
    <cacheHierarchy uniqueName="[Lançamentos].[Categoria]" caption="Categoria" attribute="1" defaultMemberUniqueName="[Lançamentos].[Categoria].[All]" allUniqueName="[Lançamentos].[Categoria].[All]" dimensionUniqueName="[Lançamentos]" displayFolder="" count="0" memberValueDatatype="130" unbalanced="0"/>
    <cacheHierarchy uniqueName="[Lançamentos].[Descrição]" caption="Descrição" attribute="1" defaultMemberUniqueName="[Lançamentos].[Descrição].[All]" allUniqueName="[Lançamentos].[Descrição].[All]" dimensionUniqueName="[Lançamentos]" displayFolder="" count="0" memberValueDatatype="130" unbalanced="0"/>
    <cacheHierarchy uniqueName="[Lançamentos].[Valor]" caption="Valor" attribute="1" defaultMemberUniqueName="[Lançamentos].[Valor].[All]" allUniqueName="[Lançamentos].[Valor].[All]" dimensionUniqueName="[Lançamentos]" displayFolder="" count="0" memberValueDatatype="5" unbalanced="0"/>
    <cacheHierarchy uniqueName="[Lançamentos].[Status]" caption="Status" attribute="1" defaultMemberUniqueName="[Lançamentos].[Status].[All]" allUniqueName="[Lançamentos].[Status].[All]" dimensionUniqueName="[Lançamentos]" displayFolder="" count="0" memberValueDatatype="130" unbalanced="0"/>
    <cacheHierarchy uniqueName="[Lançamentos].[Valor Real]" caption="Valor Real" attribute="1" defaultMemberUniqueName="[Lançamentos].[Valor Real].[All]" allUniqueName="[Lançamentos].[Valor Real].[All]" dimensionUniqueName="[Lançamentos]" displayFolder="" count="0" memberValueDatatype="5" unbalanced="0"/>
    <cacheHierarchy uniqueName="[Lançamentos].[Data de Emissão (Mês)]" caption="Data de Emissão (Mês)" attribute="1" defaultMemberUniqueName="[Lançamentos].[Data de Emissão (Mês)].[All]" allUniqueName="[Lançamentos].[Data de Emissão (Mês)].[All]" dimensionUniqueName="[Lançamentos]" displayFolder="" count="2" memberValueDatatype="130" unbalanced="0">
      <fieldsUsage count="2">
        <fieldUsage x="-1"/>
        <fieldUsage x="2"/>
      </fieldsUsage>
    </cacheHierarchy>
    <cacheHierarchy uniqueName="[Lançamentos].[Data de Emissão (Índice de Mês)]" caption="Data de Emissão (Índice de Mês)" attribute="1" defaultMemberUniqueName="[Lançamentos].[Data de Emissão (Índice de Mês)].[All]" allUniqueName="[Lançamentos].[Data de Emissão (Índice de Mês)].[All]" dimensionUniqueName="[Lançamentos]" displayFolder="" count="0" memberValueDatatype="20" unbalanced="0" hidden="1"/>
    <cacheHierarchy uniqueName="[Measures].[Soma de Valor]" caption="Soma de Valor" measure="1" displayFolder="" measureGroup="Lançamento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a de Valor Real]" caption="Soma de Valor Real" measure="1" displayFolder="" measureGroup="Lançamento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__XL_Count DataBase]" caption="__XL_Count DataBase" measure="1" displayFolder="" measureGroup="Lançamentos" count="0" hidden="1"/>
    <cacheHierarchy uniqueName="[Measures].[__XL_Count Calendário]" caption="__XL_Count Calendário" measure="1" displayFolder="" measureGroup="Calendário" count="0" hidden="1"/>
    <cacheHierarchy uniqueName="[Measures].[__Não há medidas definidas]" caption="__Não há medidas definidas" measure="1" displayFolder="" count="0" hidden="1"/>
  </cacheHierarchies>
  <kpis count="0"/>
  <dimensions count="3">
    <dimension name="Calendário" uniqueName="[Calendário]" caption="Calendário"/>
    <dimension name="Lançamentos" uniqueName="[Lançamentos]" caption="Lançamentos"/>
    <dimension measure="1" name="Measures" uniqueName="[Measures]" caption="Measures"/>
  </dimensions>
  <measureGroups count="2">
    <measureGroup name="Calendário" caption="Calendário"/>
    <measureGroup name="Lançamentos" caption="Lançamento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uilherme Ferreira" refreshedDate="46271.597475578703" createdVersion="8" refreshedVersion="8" minRefreshableVersion="3" recordCount="0" supportSubquery="1" supportAdvancedDrill="1" xr:uid="{BB59907A-6AB5-4790-9ED2-90767CEA0ACD}">
  <cacheSource type="external" connectionId="2"/>
  <cacheFields count="2">
    <cacheField name="[Measures].[Soma de Valor Real]" caption="Soma de Valor Real" numFmtId="0" hierarchy="19" level="32767"/>
    <cacheField name="[Lançamentos].[Data de Emissão (Mês)].[Data de Emissão (Mês)]" caption="Data de Emissão (Mês)" numFmtId="0" hierarchy="16" level="1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</cacheFields>
  <cacheHierarchies count="23">
    <cacheHierarchy uniqueName="[Calendário].[Date]" caption="Date" attribute="1" time="1" keyAttribute="1" defaultMemberUniqueName="[Calendário].[Date].[All]" allUniqueName="[Calendário].[Date].[All]" dimensionUniqueName="[Calendário]" displayFolder="" count="0" memberValueDatatype="7" unbalanced="0"/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Número do Mês]" caption="Número do Mês" attribute="1" time="1" defaultMemberUniqueName="[Calendário].[Número do Mês].[All]" allUniqueName="[Calendário].[Número do Mês].[All]" dimensionUniqueName="[Calendário]" displayFolder="" count="0" memberValueDatatype="20" unbalanced="0"/>
    <cacheHierarchy uniqueName="[Calendário].[Mês]" caption="Mês" attribute="1" time="1" defaultMemberUniqueName="[Calendário].[Mês].[All]" allUniqueName="[Calendário].[Mês].[All]" dimensionUniqueName="[Calendário]" displayFolder="" count="0" memberValueDatatype="130" unbalanced="0"/>
    <cacheHierarchy uniqueName="[Calendário].[Hierarquia de Datas]" caption="Hierarquia de Datas" time="1" defaultMemberUniqueName="[Calendário].[Hierarquia de Datas].[All]" allUniqueName="[Calendário].[Hierarquia de Datas].[All]" dimensionUniqueName="[Calendário]" displayFolder="" count="0" unbalanced="0"/>
    <cacheHierarchy uniqueName="[Calendário].[MMM-AAAA]" caption="MMM-AAAA" attribute="1" time="1" defaultMemberUniqueName="[Calendário].[MMM-AAAA].[All]" allUniqueName="[Calendário].[MMM-AAAA].[All]" dimensionUniqueName="[Calendário]" displayFolder="" count="0" memberValueDatatype="130" unbalanced="0"/>
    <cacheHierarchy uniqueName="[Calendário].[Dia do Número da Semana]" caption="Dia do Número da Semana" attribute="1" time="1" defaultMemberUniqueName="[Calendário].[Dia do Número da Semana].[All]" allUniqueName="[Calendário].[Dia do Número da Semana].[All]" dimensionUniqueName="[Calendário]" displayFolder="" count="0" memberValueDatatype="20" unbalanced="0"/>
    <cacheHierarchy uniqueName="[Calendário].[Dia da Semana]" caption="Dia da Semana" attribute="1" time="1" defaultMemberUniqueName="[Calendário].[Dia da Semana].[All]" allUniqueName="[Calendário].[Dia da Semana].[All]" dimensionUniqueName="[Calendário]" displayFolder="" count="0" memberValueDatatype="130" unbalanced="0"/>
    <cacheHierarchy uniqueName="[Lançamentos].[ID]" caption="ID" attribute="1" defaultMemberUniqueName="[Lançamentos].[ID].[All]" allUniqueName="[Lançamentos].[ID].[All]" dimensionUniqueName="[Lançamentos]" displayFolder="" count="0" memberValueDatatype="20" unbalanced="0"/>
    <cacheHierarchy uniqueName="[Lançamentos].[Data de Emissão]" caption="Data de Emissão" attribute="1" time="1" defaultMemberUniqueName="[Lançamentos].[Data de Emissão].[All]" allUniqueName="[Lançamentos].[Data de Emissão].[All]" dimensionUniqueName="[Lançamentos]" displayFolder="" count="0" memberValueDatatype="7" unbalanced="0"/>
    <cacheHierarchy uniqueName="[Lançamentos].[Tipo]" caption="Tipo" attribute="1" defaultMemberUniqueName="[Lançamentos].[Tipo].[All]" allUniqueName="[Lançamentos].[Tipo].[All]" dimensionUniqueName="[Lançamentos]" displayFolder="" count="0" memberValueDatatype="130" unbalanced="0"/>
    <cacheHierarchy uniqueName="[Lançamentos].[Categoria]" caption="Categoria" attribute="1" defaultMemberUniqueName="[Lançamentos].[Categoria].[All]" allUniqueName="[Lançamentos].[Categoria].[All]" dimensionUniqueName="[Lançamentos]" displayFolder="" count="0" memberValueDatatype="130" unbalanced="0"/>
    <cacheHierarchy uniqueName="[Lançamentos].[Descrição]" caption="Descrição" attribute="1" defaultMemberUniqueName="[Lançamentos].[Descrição].[All]" allUniqueName="[Lançamentos].[Descrição].[All]" dimensionUniqueName="[Lançamentos]" displayFolder="" count="0" memberValueDatatype="130" unbalanced="0"/>
    <cacheHierarchy uniqueName="[Lançamentos].[Valor]" caption="Valor" attribute="1" defaultMemberUniqueName="[Lançamentos].[Valor].[All]" allUniqueName="[Lançamentos].[Valor].[All]" dimensionUniqueName="[Lançamentos]" displayFolder="" count="0" memberValueDatatype="5" unbalanced="0"/>
    <cacheHierarchy uniqueName="[Lançamentos].[Status]" caption="Status" attribute="1" defaultMemberUniqueName="[Lançamentos].[Status].[All]" allUniqueName="[Lançamentos].[Status].[All]" dimensionUniqueName="[Lançamentos]" displayFolder="" count="0" memberValueDatatype="130" unbalanced="0"/>
    <cacheHierarchy uniqueName="[Lançamentos].[Valor Real]" caption="Valor Real" attribute="1" defaultMemberUniqueName="[Lançamentos].[Valor Real].[All]" allUniqueName="[Lançamentos].[Valor Real].[All]" dimensionUniqueName="[Lançamentos]" displayFolder="" count="0" memberValueDatatype="5" unbalanced="0"/>
    <cacheHierarchy uniqueName="[Lançamentos].[Data de Emissão (Mês)]" caption="Data de Emissão (Mês)" attribute="1" defaultMemberUniqueName="[Lançamentos].[Data de Emissão (Mês)].[All]" allUniqueName="[Lançamentos].[Data de Emissão (Mês)].[All]" dimensionUniqueName="[Lançamentos]" displayFolder="" count="2" memberValueDatatype="130" unbalanced="0">
      <fieldsUsage count="2">
        <fieldUsage x="-1"/>
        <fieldUsage x="1"/>
      </fieldsUsage>
    </cacheHierarchy>
    <cacheHierarchy uniqueName="[Lançamentos].[Data de Emissão (Índice de Mês)]" caption="Data de Emissão (Índice de Mês)" attribute="1" defaultMemberUniqueName="[Lançamentos].[Data de Emissão (Índice de Mês)].[All]" allUniqueName="[Lançamentos].[Data de Emissão (Índice de Mês)].[All]" dimensionUniqueName="[Lançamentos]" displayFolder="" count="0" memberValueDatatype="20" unbalanced="0" hidden="1"/>
    <cacheHierarchy uniqueName="[Measures].[Soma de Valor]" caption="Soma de Valor" measure="1" displayFolder="" measureGroup="Lançamento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a de Valor Real]" caption="Soma de Valor Real" measure="1" displayFolder="" measureGroup="Lançamento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__XL_Count DataBase]" caption="__XL_Count DataBase" measure="1" displayFolder="" measureGroup="Lançamentos" count="0" hidden="1"/>
    <cacheHierarchy uniqueName="[Measures].[__XL_Count Calendário]" caption="__XL_Count Calendário" measure="1" displayFolder="" measureGroup="Calendário" count="0" hidden="1"/>
    <cacheHierarchy uniqueName="[Measures].[__Não há medidas definidas]" caption="__Não há medidas definidas" measure="1" displayFolder="" count="0" hidden="1"/>
  </cacheHierarchies>
  <kpis count="0"/>
  <dimensions count="3">
    <dimension name="Calendário" uniqueName="[Calendário]" caption="Calendário"/>
    <dimension name="Lançamentos" uniqueName="[Lançamentos]" caption="Lançamentos"/>
    <dimension measure="1" name="Measures" uniqueName="[Measures]" caption="Measures"/>
  </dimensions>
  <measureGroups count="2">
    <measureGroup name="Calendário" caption="Calendário"/>
    <measureGroup name="Lançamentos" caption="Lançamento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uilherme Ferreira" refreshedDate="46271.612329166666" createdVersion="8" refreshedVersion="8" minRefreshableVersion="3" recordCount="0" supportSubquery="1" supportAdvancedDrill="1" xr:uid="{F606FB25-49D9-413D-8C48-967EA701EE51}">
  <cacheSource type="external" connectionId="2"/>
  <cacheFields count="7">
    <cacheField name="[Calendário].[Hierarquia de Datas].[Ano]" caption="Ano" numFmtId="0" hierarchy="4" level="1">
      <sharedItems containsSemiMixedTypes="0" containsNonDate="0" containsString="0"/>
    </cacheField>
    <cacheField name="[Calendário].[Hierarquia de Datas].[Mês]" caption="Mês" numFmtId="0" hierarchy="4" level="2">
      <sharedItems containsSemiMixedTypes="0" containsNonDate="0" containsString="0"/>
    </cacheField>
    <cacheField name="[Calendário].[Hierarquia de Datas].[DateColumn]" caption="DateColumn" numFmtId="0" hierarchy="4" level="3">
      <sharedItems containsSemiMixedTypes="0" containsNonDate="0" containsString="0"/>
    </cacheField>
    <cacheField name="[Lançamentos].[Data de Emissão].[Data de Emissão]" caption="Data de Emissão" numFmtId="0" hierarchy="9" level="1">
      <sharedItems containsSemiMixedTypes="0" containsNonDate="0" containsDate="1" containsString="0" minDate="2025-12-01T00:00:00" maxDate="2026-01-01T00:00:00" count="31"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</cacheField>
    <cacheField name="[Calendário].[Mês].[Mês]" caption="Mês" numFmtId="0" hierarchy="3" level="1">
      <sharedItems containsSemiMixedTypes="0" containsNonDate="0" containsString="0"/>
    </cacheField>
    <cacheField name="[Measures].[Soma de Valor Real]" caption="Soma de Valor Real" numFmtId="0" hierarchy="19" level="32767"/>
    <cacheField name="Unsupported0" numFmtId="0" hierarchy="2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4">
    <cacheHierarchy uniqueName="[Calendário].[Date]" caption="Date" attribute="1" time="1" keyAttribute="1" defaultMemberUniqueName="[Calendário].[Date].[All]" allUniqueName="[Calendário].[Date].[All]" dimensionUniqueName="[Calendário]" displayFolder="" count="0" memberValueDatatype="7" unbalanced="0"/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Número do Mês]" caption="Número do Mês" attribute="1" time="1" defaultMemberUniqueName="[Calendário].[Número do Mês].[All]" allUniqueName="[Calendário].[Número do Mês].[All]" dimensionUniqueName="[Calendário]" displayFolder="" count="0" memberValueDatatype="20" unbalanced="0"/>
    <cacheHierarchy uniqueName="[Calendário].[Mês]" caption="Mês" attribute="1" time="1" defaultMemberUniqueName="[Calendário].[Mês].[All]" allUniqueName="[Calendário].[Mês].[All]" dimensionUniqueName="[Calendário]" displayFolder="" count="2" memberValueDatatype="130" unbalanced="0">
      <fieldsUsage count="2">
        <fieldUsage x="-1"/>
        <fieldUsage x="4"/>
      </fieldsUsage>
    </cacheHierarchy>
    <cacheHierarchy uniqueName="[Calendário].[Hierarquia de Datas]" caption="Hierarquia de Datas" time="1" defaultMemberUniqueName="[Calendário].[Hierarquia de Datas].[All]" allUniqueName="[Calendário].[Hierarquia de Datas].[All]" dimensionUniqueName="[Calendário]" displayFolder="" count="4" unbalanced="0">
      <fieldsUsage count="4">
        <fieldUsage x="-1"/>
        <fieldUsage x="0"/>
        <fieldUsage x="1"/>
        <fieldUsage x="2"/>
      </fieldsUsage>
    </cacheHierarchy>
    <cacheHierarchy uniqueName="[Calendário].[MMM-AAAA]" caption="MMM-AAAA" attribute="1" time="1" defaultMemberUniqueName="[Calendário].[MMM-AAAA].[All]" allUniqueName="[Calendário].[MMM-AAAA].[All]" dimensionUniqueName="[Calendário]" displayFolder="" count="0" memberValueDatatype="130" unbalanced="0"/>
    <cacheHierarchy uniqueName="[Calendário].[Dia do Número da Semana]" caption="Dia do Número da Semana" attribute="1" time="1" defaultMemberUniqueName="[Calendário].[Dia do Número da Semana].[All]" allUniqueName="[Calendário].[Dia do Número da Semana].[All]" dimensionUniqueName="[Calendário]" displayFolder="" count="0" memberValueDatatype="20" unbalanced="0"/>
    <cacheHierarchy uniqueName="[Calendário].[Dia da Semana]" caption="Dia da Semana" attribute="1" time="1" defaultMemberUniqueName="[Calendário].[Dia da Semana].[All]" allUniqueName="[Calendário].[Dia da Semana].[All]" dimensionUniqueName="[Calendário]" displayFolder="" count="0" memberValueDatatype="130" unbalanced="0"/>
    <cacheHierarchy uniqueName="[Lançamentos].[ID]" caption="ID" attribute="1" defaultMemberUniqueName="[Lançamentos].[ID].[All]" allUniqueName="[Lançamentos].[ID].[All]" dimensionUniqueName="[Lançamentos]" displayFolder="" count="0" memberValueDatatype="20" unbalanced="0"/>
    <cacheHierarchy uniqueName="[Lançamentos].[Data de Emissão]" caption="Data de Emissão" attribute="1" time="1" defaultMemberUniqueName="[Lançamentos].[Data de Emissão].[All]" allUniqueName="[Lançamentos].[Data de Emissão].[All]" dimensionUniqueName="[Lançamentos]" displayFolder="" count="2" memberValueDatatype="7" unbalanced="0">
      <fieldsUsage count="2">
        <fieldUsage x="-1"/>
        <fieldUsage x="3"/>
      </fieldsUsage>
    </cacheHierarchy>
    <cacheHierarchy uniqueName="[Lançamentos].[Tipo]" caption="Tipo" attribute="1" defaultMemberUniqueName="[Lançamentos].[Tipo].[All]" allUniqueName="[Lançamentos].[Tipo].[All]" dimensionUniqueName="[Lançamentos]" displayFolder="" count="0" memberValueDatatype="130" unbalanced="0"/>
    <cacheHierarchy uniqueName="[Lançamentos].[Categoria]" caption="Categoria" attribute="1" defaultMemberUniqueName="[Lançamentos].[Categoria].[All]" allUniqueName="[Lançamentos].[Categoria].[All]" dimensionUniqueName="[Lançamentos]" displayFolder="" count="0" memberValueDatatype="130" unbalanced="0"/>
    <cacheHierarchy uniqueName="[Lançamentos].[Descrição]" caption="Descrição" attribute="1" defaultMemberUniqueName="[Lançamentos].[Descrição].[All]" allUniqueName="[Lançamentos].[Descrição].[All]" dimensionUniqueName="[Lançamentos]" displayFolder="" count="0" memberValueDatatype="130" unbalanced="0"/>
    <cacheHierarchy uniqueName="[Lançamentos].[Valor]" caption="Valor" attribute="1" defaultMemberUniqueName="[Lançamentos].[Valor].[All]" allUniqueName="[Lançamentos].[Valor].[All]" dimensionUniqueName="[Lançamentos]" displayFolder="" count="0" memberValueDatatype="5" unbalanced="0"/>
    <cacheHierarchy uniqueName="[Lançamentos].[Status]" caption="Status" attribute="1" defaultMemberUniqueName="[Lançamentos].[Status].[All]" allUniqueName="[Lançamentos].[Status].[All]" dimensionUniqueName="[Lançamentos]" displayFolder="" count="0" memberValueDatatype="130" unbalanced="0"/>
    <cacheHierarchy uniqueName="[Lançamentos].[Valor Real]" caption="Valor Real" attribute="1" defaultMemberUniqueName="[Lançamentos].[Valor Real].[All]" allUniqueName="[Lançamentos].[Valor Real].[All]" dimensionUniqueName="[Lançamentos]" displayFolder="" count="2" memberValueDatatype="5" unbalanced="0"/>
    <cacheHierarchy uniqueName="[Lançamentos].[Data de Emissão (Mês)]" caption="Data de Emissão (Mês)" attribute="1" defaultMemberUniqueName="[Lançamentos].[Data de Emissão (Mês)].[All]" allUniqueName="[Lançamentos].[Data de Emissão (Mês)].[All]" dimensionUniqueName="[Lançamentos]" displayFolder="" count="2" memberValueDatatype="130" unbalanced="0"/>
    <cacheHierarchy uniqueName="[Lançamentos].[Data de Emissão (Índice de Mês)]" caption="Data de Emissão (Índice de Mês)" attribute="1" defaultMemberUniqueName="[Lançamentos].[Data de Emissão (Índice de Mês)].[All]" allUniqueName="[Lançamentos].[Data de Emissão (Índice de Mês)].[All]" dimensionUniqueName="[Lançamentos]" displayFolder="" count="0" memberValueDatatype="20" unbalanced="0" hidden="1"/>
    <cacheHierarchy uniqueName="[Measures].[Soma de Valor]" caption="Soma de Valor" measure="1" displayFolder="" measureGroup="Lançamento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a de Valor Real]" caption="Soma de Valor Real" measure="1" displayFolder="" measureGroup="Lançamentos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__XL_Count DataBase]" caption="__XL_Count DataBase" measure="1" displayFolder="" measureGroup="Lançamentos" count="0" hidden="1"/>
    <cacheHierarchy uniqueName="[Measures].[__XL_Count Calendário]" caption="__XL_Count Calendário" measure="1" displayFolder="" measureGroup="Calendário" count="0" hidden="1"/>
    <cacheHierarchy uniqueName="[Measures].[__Não há medidas definidas]" caption="__Não há medidas definidas" measure="1" displayFolder="" count="0" hidden="1"/>
    <cacheHierarchy uniqueName="Unsupported0" caption="Date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3">
    <dimension name="Calendário" uniqueName="[Calendário]" caption="Calendário"/>
    <dimension name="Lançamentos" uniqueName="[Lançamentos]" caption="Lançamentos"/>
    <dimension measure="1" name="Measures" uniqueName="[Measures]" caption="Measures"/>
  </dimensions>
  <measureGroups count="2">
    <measureGroup name="Calendário" caption="Calendário"/>
    <measureGroup name="Lançamentos" caption="Lançamento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uilherme Ferreira" refreshedDate="46271.61232951389" createdVersion="8" refreshedVersion="8" minRefreshableVersion="3" recordCount="0" supportSubquery="1" supportAdvancedDrill="1" xr:uid="{A0E9ADCE-33A7-4135-B1DD-20CA3D848FBA}">
  <cacheSource type="external" connectionId="2"/>
  <cacheFields count="7">
    <cacheField name="[Measures].[Soma de Valor]" caption="Soma de Valor" numFmtId="0" hierarchy="18" level="32767"/>
    <cacheField name="[Lançamentos].[Tipo].[Tipo]" caption="Tipo" numFmtId="0" hierarchy="10" level="1">
      <sharedItems containsSemiMixedTypes="0" containsNonDate="0" containsString="0"/>
    </cacheField>
    <cacheField name="[Lançamentos].[Categoria].[Categoria]" caption="Categoria" numFmtId="0" hierarchy="11" level="1">
      <sharedItems count="6">
        <s v="Administrativo"/>
        <s v="Financeiro"/>
        <s v="Marketing"/>
        <s v="Operacional"/>
        <s v="Pessoal"/>
        <s v="Tecnologia"/>
      </sharedItems>
    </cacheField>
    <cacheField name="[Calendário].[Mês].[Mês]" caption="Mês" numFmtId="0" hierarchy="3" level="1">
      <sharedItems containsSemiMixedTypes="0" containsNonDate="0" containsString="0"/>
    </cacheField>
    <cacheField name="[Calendário].[Hierarquia de Datas].[Ano]" caption="Ano" numFmtId="0" hierarchy="4" level="1">
      <sharedItems containsSemiMixedTypes="0" containsNonDate="0" containsString="0"/>
    </cacheField>
    <cacheField name="[Calendário].[Hierarquia de Datas].[Mês]" caption="Mês" numFmtId="0" hierarchy="4" level="2">
      <sharedItems containsSemiMixedTypes="0" containsNonDate="0" containsString="0"/>
    </cacheField>
    <cacheField name="[Calendário].[Hierarquia de Datas].[DateColumn]" caption="DateColumn" numFmtId="0" hierarchy="4" level="3">
      <sharedItems containsSemiMixedTypes="0" containsNonDate="0" containsString="0"/>
    </cacheField>
  </cacheFields>
  <cacheHierarchies count="23">
    <cacheHierarchy uniqueName="[Calendário].[Date]" caption="Date" attribute="1" time="1" keyAttribute="1" defaultMemberUniqueName="[Calendário].[Date].[All]" allUniqueName="[Calendário].[Date].[All]" dimensionUniqueName="[Calendário]" displayFolder="" count="0" memberValueDatatype="7" unbalanced="0"/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Número do Mês]" caption="Número do Mês" attribute="1" time="1" defaultMemberUniqueName="[Calendário].[Número do Mês].[All]" allUniqueName="[Calendário].[Número do Mês].[All]" dimensionUniqueName="[Calendário]" displayFolder="" count="0" memberValueDatatype="20" unbalanced="0"/>
    <cacheHierarchy uniqueName="[Calendário].[Mês]" caption="Mês" attribute="1" time="1" defaultMemberUniqueName="[Calendário].[Mês].[All]" allUniqueName="[Calendário].[Mês].[All]" dimensionUniqueName="[Calendário]" displayFolder="" count="2" memberValueDatatype="130" unbalanced="0">
      <fieldsUsage count="2">
        <fieldUsage x="-1"/>
        <fieldUsage x="3"/>
      </fieldsUsage>
    </cacheHierarchy>
    <cacheHierarchy uniqueName="[Calendário].[Hierarquia de Datas]" caption="Hierarquia de Datas" time="1" defaultMemberUniqueName="[Calendário].[Hierarquia de Datas].[All]" allUniqueName="[Calendário].[Hierarquia de Datas].[All]" dimensionUniqueName="[Calendário]" displayFolder="" count="4" unbalanced="0">
      <fieldsUsage count="4">
        <fieldUsage x="-1"/>
        <fieldUsage x="4"/>
        <fieldUsage x="5"/>
        <fieldUsage x="6"/>
      </fieldsUsage>
    </cacheHierarchy>
    <cacheHierarchy uniqueName="[Calendário].[MMM-AAAA]" caption="MMM-AAAA" attribute="1" time="1" defaultMemberUniqueName="[Calendário].[MMM-AAAA].[All]" allUniqueName="[Calendário].[MMM-AAAA].[All]" dimensionUniqueName="[Calendário]" displayFolder="" count="0" memberValueDatatype="130" unbalanced="0"/>
    <cacheHierarchy uniqueName="[Calendário].[Dia do Número da Semana]" caption="Dia do Número da Semana" attribute="1" time="1" defaultMemberUniqueName="[Calendário].[Dia do Número da Semana].[All]" allUniqueName="[Calendário].[Dia do Número da Semana].[All]" dimensionUniqueName="[Calendário]" displayFolder="" count="0" memberValueDatatype="20" unbalanced="0"/>
    <cacheHierarchy uniqueName="[Calendário].[Dia da Semana]" caption="Dia da Semana" attribute="1" time="1" defaultMemberUniqueName="[Calendário].[Dia da Semana].[All]" allUniqueName="[Calendário].[Dia da Semana].[All]" dimensionUniqueName="[Calendário]" displayFolder="" count="0" memberValueDatatype="130" unbalanced="0"/>
    <cacheHierarchy uniqueName="[Lançamentos].[ID]" caption="ID" attribute="1" defaultMemberUniqueName="[Lançamentos].[ID].[All]" allUniqueName="[Lançamentos].[ID].[All]" dimensionUniqueName="[Lançamentos]" displayFolder="" count="0" memberValueDatatype="20" unbalanced="0"/>
    <cacheHierarchy uniqueName="[Lançamentos].[Data de Emissão]" caption="Data de Emissão" attribute="1" time="1" defaultMemberUniqueName="[Lançamentos].[Data de Emissão].[All]" allUniqueName="[Lançamentos].[Data de Emissão].[All]" dimensionUniqueName="[Lançamentos]" displayFolder="" count="0" memberValueDatatype="7" unbalanced="0"/>
    <cacheHierarchy uniqueName="[Lançamentos].[Tipo]" caption="Tipo" attribute="1" defaultMemberUniqueName="[Lançamentos].[Tipo].[All]" allUniqueName="[Lançamentos].[Tipo].[All]" dimensionUniqueName="[Lançamentos]" displayFolder="" count="2" memberValueDatatype="130" unbalanced="0">
      <fieldsUsage count="2">
        <fieldUsage x="-1"/>
        <fieldUsage x="1"/>
      </fieldsUsage>
    </cacheHierarchy>
    <cacheHierarchy uniqueName="[Lançamentos].[Categoria]" caption="Categoria" attribute="1" defaultMemberUniqueName="[Lançamentos].[Categoria].[All]" allUniqueName="[Lançamentos].[Categoria].[All]" dimensionUniqueName="[Lançamentos]" displayFolder="" count="2" memberValueDatatype="130" unbalanced="0">
      <fieldsUsage count="2">
        <fieldUsage x="-1"/>
        <fieldUsage x="2"/>
      </fieldsUsage>
    </cacheHierarchy>
    <cacheHierarchy uniqueName="[Lançamentos].[Descrição]" caption="Descrição" attribute="1" defaultMemberUniqueName="[Lançamentos].[Descrição].[All]" allUniqueName="[Lançamentos].[Descrição].[All]" dimensionUniqueName="[Lançamentos]" displayFolder="" count="0" memberValueDatatype="130" unbalanced="0"/>
    <cacheHierarchy uniqueName="[Lançamentos].[Valor]" caption="Valor" attribute="1" defaultMemberUniqueName="[Lançamentos].[Valor].[All]" allUniqueName="[Lançamentos].[Valor].[All]" dimensionUniqueName="[Lançamentos]" displayFolder="" count="0" memberValueDatatype="5" unbalanced="0"/>
    <cacheHierarchy uniqueName="[Lançamentos].[Status]" caption="Status" attribute="1" defaultMemberUniqueName="[Lançamentos].[Status].[All]" allUniqueName="[Lançamentos].[Status].[All]" dimensionUniqueName="[Lançamentos]" displayFolder="" count="0" memberValueDatatype="130" unbalanced="0"/>
    <cacheHierarchy uniqueName="[Lançamentos].[Valor Real]" caption="Valor Real" attribute="1" defaultMemberUniqueName="[Lançamentos].[Valor Real].[All]" allUniqueName="[Lançamentos].[Valor Real].[All]" dimensionUniqueName="[Lançamentos]" displayFolder="" count="0" memberValueDatatype="5" unbalanced="0"/>
    <cacheHierarchy uniqueName="[Lançamentos].[Data de Emissão (Mês)]" caption="Data de Emissão (Mês)" attribute="1" defaultMemberUniqueName="[Lançamentos].[Data de Emissão (Mês)].[All]" allUniqueName="[Lançamentos].[Data de Emissão (Mês)].[All]" dimensionUniqueName="[Lançamentos]" displayFolder="" count="0" memberValueDatatype="130" unbalanced="0"/>
    <cacheHierarchy uniqueName="[Lançamentos].[Data de Emissão (Índice de Mês)]" caption="Data de Emissão (Índice de Mês)" attribute="1" defaultMemberUniqueName="[Lançamentos].[Data de Emissão (Índice de Mês)].[All]" allUniqueName="[Lançamentos].[Data de Emissão (Índice de Mês)].[All]" dimensionUniqueName="[Lançamentos]" displayFolder="" count="0" memberValueDatatype="20" unbalanced="0" hidden="1"/>
    <cacheHierarchy uniqueName="[Measures].[Soma de Valor]" caption="Soma de Valor" measure="1" displayFolder="" measureGroup="Lançamento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a de Valor Real]" caption="Soma de Valor Real" measure="1" displayFolder="" measureGroup="Lançamento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__XL_Count DataBase]" caption="__XL_Count DataBase" measure="1" displayFolder="" measureGroup="Lançamentos" count="0" hidden="1"/>
    <cacheHierarchy uniqueName="[Measures].[__XL_Count Calendário]" caption="__XL_Count Calendário" measure="1" displayFolder="" measureGroup="Calendário" count="0" hidden="1"/>
    <cacheHierarchy uniqueName="[Measures].[__Não há medidas definidas]" caption="__Não há medidas definidas" measure="1" displayFolder="" count="0" hidden="1"/>
  </cacheHierarchies>
  <kpis count="0"/>
  <dimensions count="3">
    <dimension name="Calendário" uniqueName="[Calendário]" caption="Calendário"/>
    <dimension name="Lançamentos" uniqueName="[Lançamentos]" caption="Lançamentos"/>
    <dimension measure="1" name="Measures" uniqueName="[Measures]" caption="Measures"/>
  </dimensions>
  <measureGroups count="2">
    <measureGroup name="Calendário" caption="Calendário"/>
    <measureGroup name="Lançamentos" caption="Lançamento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uilherme Ferreira" refreshedDate="46271.612329861113" createdVersion="8" refreshedVersion="8" minRefreshableVersion="3" recordCount="0" supportSubquery="1" supportAdvancedDrill="1" xr:uid="{76040011-5041-444D-A338-8FD5F719EA0F}">
  <cacheSource type="external" connectionId="2"/>
  <cacheFields count="7">
    <cacheField name="[Lançamentos].[Tipo].[Tipo]" caption="Tipo" numFmtId="0" hierarchy="10" level="1">
      <sharedItems containsSemiMixedTypes="0" containsNonDate="0" containsString="0"/>
    </cacheField>
    <cacheField name="[Lançamentos].[Categoria].[Categoria]" caption="Categoria" numFmtId="0" hierarchy="11" level="1">
      <sharedItems count="4">
        <s v="Comércio"/>
        <s v="Outras"/>
        <s v="Projetos"/>
        <s v="Recorrentes"/>
      </sharedItems>
    </cacheField>
    <cacheField name="[Measures].[Soma de Valor Real]" caption="Soma de Valor Real" numFmtId="0" hierarchy="19" level="32767"/>
    <cacheField name="[Calendário].[Mês].[Mês]" caption="Mês" numFmtId="0" hierarchy="3" level="1">
      <sharedItems containsSemiMixedTypes="0" containsNonDate="0" containsString="0"/>
    </cacheField>
    <cacheField name="[Calendário].[Hierarquia de Datas].[Ano]" caption="Ano" numFmtId="0" hierarchy="4" level="1">
      <sharedItems containsSemiMixedTypes="0" containsNonDate="0" containsString="0"/>
    </cacheField>
    <cacheField name="[Calendário].[Hierarquia de Datas].[Mês]" caption="Mês" numFmtId="0" hierarchy="4" level="2">
      <sharedItems containsSemiMixedTypes="0" containsNonDate="0" containsString="0"/>
    </cacheField>
    <cacheField name="[Calendário].[Hierarquia de Datas].[DateColumn]" caption="DateColumn" numFmtId="0" hierarchy="4" level="3">
      <sharedItems containsSemiMixedTypes="0" containsNonDate="0" containsString="0"/>
    </cacheField>
  </cacheFields>
  <cacheHierarchies count="23">
    <cacheHierarchy uniqueName="[Calendário].[Date]" caption="Date" attribute="1" time="1" keyAttribute="1" defaultMemberUniqueName="[Calendário].[Date].[All]" allUniqueName="[Calendário].[Date].[All]" dimensionUniqueName="[Calendário]" displayFolder="" count="0" memberValueDatatype="7" unbalanced="0"/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Número do Mês]" caption="Número do Mês" attribute="1" time="1" defaultMemberUniqueName="[Calendário].[Número do Mês].[All]" allUniqueName="[Calendário].[Número do Mês].[All]" dimensionUniqueName="[Calendário]" displayFolder="" count="0" memberValueDatatype="20" unbalanced="0"/>
    <cacheHierarchy uniqueName="[Calendário].[Mês]" caption="Mês" attribute="1" time="1" defaultMemberUniqueName="[Calendário].[Mês].[All]" allUniqueName="[Calendário].[Mês].[All]" dimensionUniqueName="[Calendário]" displayFolder="" count="2" memberValueDatatype="130" unbalanced="0">
      <fieldsUsage count="2">
        <fieldUsage x="-1"/>
        <fieldUsage x="3"/>
      </fieldsUsage>
    </cacheHierarchy>
    <cacheHierarchy uniqueName="[Calendário].[Hierarquia de Datas]" caption="Hierarquia de Datas" time="1" defaultMemberUniqueName="[Calendário].[Hierarquia de Datas].[All]" allUniqueName="[Calendário].[Hierarquia de Datas].[All]" dimensionUniqueName="[Calendário]" displayFolder="" count="4" unbalanced="0">
      <fieldsUsage count="4">
        <fieldUsage x="-1"/>
        <fieldUsage x="4"/>
        <fieldUsage x="5"/>
        <fieldUsage x="6"/>
      </fieldsUsage>
    </cacheHierarchy>
    <cacheHierarchy uniqueName="[Calendário].[MMM-AAAA]" caption="MMM-AAAA" attribute="1" time="1" defaultMemberUniqueName="[Calendário].[MMM-AAAA].[All]" allUniqueName="[Calendário].[MMM-AAAA].[All]" dimensionUniqueName="[Calendário]" displayFolder="" count="0" memberValueDatatype="130" unbalanced="0"/>
    <cacheHierarchy uniqueName="[Calendário].[Dia do Número da Semana]" caption="Dia do Número da Semana" attribute="1" time="1" defaultMemberUniqueName="[Calendário].[Dia do Número da Semana].[All]" allUniqueName="[Calendário].[Dia do Número da Semana].[All]" dimensionUniqueName="[Calendário]" displayFolder="" count="0" memberValueDatatype="20" unbalanced="0"/>
    <cacheHierarchy uniqueName="[Calendário].[Dia da Semana]" caption="Dia da Semana" attribute="1" time="1" defaultMemberUniqueName="[Calendário].[Dia da Semana].[All]" allUniqueName="[Calendário].[Dia da Semana].[All]" dimensionUniqueName="[Calendário]" displayFolder="" count="0" memberValueDatatype="130" unbalanced="0"/>
    <cacheHierarchy uniqueName="[Lançamentos].[ID]" caption="ID" attribute="1" defaultMemberUniqueName="[Lançamentos].[ID].[All]" allUniqueName="[Lançamentos].[ID].[All]" dimensionUniqueName="[Lançamentos]" displayFolder="" count="0" memberValueDatatype="20" unbalanced="0"/>
    <cacheHierarchy uniqueName="[Lançamentos].[Data de Emissão]" caption="Data de Emissão" attribute="1" time="1" defaultMemberUniqueName="[Lançamentos].[Data de Emissão].[All]" allUniqueName="[Lançamentos].[Data de Emissão].[All]" dimensionUniqueName="[Lançamentos]" displayFolder="" count="0" memberValueDatatype="7" unbalanced="0"/>
    <cacheHierarchy uniqueName="[Lançamentos].[Tipo]" caption="Tipo" attribute="1" defaultMemberUniqueName="[Lançamentos].[Tipo].[All]" allUniqueName="[Lançamentos].[Tipo].[All]" dimensionUniqueName="[Lançamentos]" displayFolder="" count="2" memberValueDatatype="130" unbalanced="0">
      <fieldsUsage count="2">
        <fieldUsage x="-1"/>
        <fieldUsage x="0"/>
      </fieldsUsage>
    </cacheHierarchy>
    <cacheHierarchy uniqueName="[Lançamentos].[Categoria]" caption="Categoria" attribute="1" defaultMemberUniqueName="[Lançamentos].[Categoria].[All]" allUniqueName="[Lançamentos].[Categoria].[All]" dimensionUniqueName="[Lançamentos]" displayFolder="" count="2" memberValueDatatype="130" unbalanced="0">
      <fieldsUsage count="2">
        <fieldUsage x="-1"/>
        <fieldUsage x="1"/>
      </fieldsUsage>
    </cacheHierarchy>
    <cacheHierarchy uniqueName="[Lançamentos].[Descrição]" caption="Descrição" attribute="1" defaultMemberUniqueName="[Lançamentos].[Descrição].[All]" allUniqueName="[Lançamentos].[Descrição].[All]" dimensionUniqueName="[Lançamentos]" displayFolder="" count="0" memberValueDatatype="130" unbalanced="0"/>
    <cacheHierarchy uniqueName="[Lançamentos].[Valor]" caption="Valor" attribute="1" defaultMemberUniqueName="[Lançamentos].[Valor].[All]" allUniqueName="[Lançamentos].[Valor].[All]" dimensionUniqueName="[Lançamentos]" displayFolder="" count="0" memberValueDatatype="5" unbalanced="0"/>
    <cacheHierarchy uniqueName="[Lançamentos].[Status]" caption="Status" attribute="1" defaultMemberUniqueName="[Lançamentos].[Status].[All]" allUniqueName="[Lançamentos].[Status].[All]" dimensionUniqueName="[Lançamentos]" displayFolder="" count="0" memberValueDatatype="130" unbalanced="0"/>
    <cacheHierarchy uniqueName="[Lançamentos].[Valor Real]" caption="Valor Real" attribute="1" defaultMemberUniqueName="[Lançamentos].[Valor Real].[All]" allUniqueName="[Lançamentos].[Valor Real].[All]" dimensionUniqueName="[Lançamentos]" displayFolder="" count="0" memberValueDatatype="5" unbalanced="0"/>
    <cacheHierarchy uniqueName="[Lançamentos].[Data de Emissão (Mês)]" caption="Data de Emissão (Mês)" attribute="1" defaultMemberUniqueName="[Lançamentos].[Data de Emissão (Mês)].[All]" allUniqueName="[Lançamentos].[Data de Emissão (Mês)].[All]" dimensionUniqueName="[Lançamentos]" displayFolder="" count="0" memberValueDatatype="130" unbalanced="0"/>
    <cacheHierarchy uniqueName="[Lançamentos].[Data de Emissão (Índice de Mês)]" caption="Data de Emissão (Índice de Mês)" attribute="1" defaultMemberUniqueName="[Lançamentos].[Data de Emissão (Índice de Mês)].[All]" allUniqueName="[Lançamentos].[Data de Emissão (Índice de Mês)].[All]" dimensionUniqueName="[Lançamentos]" displayFolder="" count="0" memberValueDatatype="20" unbalanced="0" hidden="1"/>
    <cacheHierarchy uniqueName="[Measures].[Soma de Valor]" caption="Soma de Valor" measure="1" displayFolder="" measureGroup="Lançamento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a de Valor Real]" caption="Soma de Valor Real" measure="1" displayFolder="" measureGroup="Lançamento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__XL_Count DataBase]" caption="__XL_Count DataBase" measure="1" displayFolder="" measureGroup="Lançamentos" count="0" hidden="1"/>
    <cacheHierarchy uniqueName="[Measures].[__XL_Count Calendário]" caption="__XL_Count Calendário" measure="1" displayFolder="" measureGroup="Calendário" count="0" hidden="1"/>
    <cacheHierarchy uniqueName="[Measures].[__Não há medidas definidas]" caption="__Não há medidas definidas" measure="1" displayFolder="" count="0" hidden="1"/>
  </cacheHierarchies>
  <kpis count="0"/>
  <dimensions count="3">
    <dimension name="Calendário" uniqueName="[Calendário]" caption="Calendário"/>
    <dimension name="Lançamentos" uniqueName="[Lançamentos]" caption="Lançamentos"/>
    <dimension measure="1" name="Measures" uniqueName="[Measures]" caption="Measures"/>
  </dimensions>
  <measureGroups count="2">
    <measureGroup name="Calendário" caption="Calendário"/>
    <measureGroup name="Lançamentos" caption="Lançamento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uilherme Ferreira" refreshedDate="46271.597468518521" createdVersion="3" refreshedVersion="8" minRefreshableVersion="3" recordCount="0" supportSubquery="1" supportAdvancedDrill="1" xr:uid="{CDA1590D-92AC-4908-B836-2FFB29399387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3">
    <cacheHierarchy uniqueName="[Calendário].[Date]" caption="Date" attribute="1" time="1" keyAttribute="1" defaultMemberUniqueName="[Calendário].[Date].[All]" allUniqueName="[Calendário].[Date].[All]" dimensionUniqueName="[Calendário]" displayFolder="" count="0" memberValueDatatype="7" unbalanced="0"/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Número do Mês]" caption="Número do Mês" attribute="1" time="1" defaultMemberUniqueName="[Calendário].[Número do Mês].[All]" allUniqueName="[Calendário].[Número do Mês].[All]" dimensionUniqueName="[Calendário]" displayFolder="" count="0" memberValueDatatype="20" unbalanced="0"/>
    <cacheHierarchy uniqueName="[Calendário].[Mês]" caption="Mês" attribute="1" time="1" defaultMemberUniqueName="[Calendário].[Mês].[All]" allUniqueName="[Calendário].[Mês].[All]" dimensionUniqueName="[Calendário]" displayFolder="" count="0" memberValueDatatype="130" unbalanced="0"/>
    <cacheHierarchy uniqueName="[Calendário].[Hierarquia de Datas]" caption="Hierarquia de Datas" time="1" defaultMemberUniqueName="[Calendário].[Hierarquia de Datas].[All]" allUniqueName="[Calendário].[Hierarquia de Datas].[All]" dimensionUniqueName="[Calendário]" displayFolder="" count="4" unbalanced="0"/>
    <cacheHierarchy uniqueName="[Calendário].[MMM-AAAA]" caption="MMM-AAAA" attribute="1" time="1" defaultMemberUniqueName="[Calendário].[MMM-AAAA].[All]" allUniqueName="[Calendário].[MMM-AAAA].[All]" dimensionUniqueName="[Calendário]" displayFolder="" count="0" memberValueDatatype="130" unbalanced="0"/>
    <cacheHierarchy uniqueName="[Calendário].[Dia do Número da Semana]" caption="Dia do Número da Semana" attribute="1" time="1" defaultMemberUniqueName="[Calendário].[Dia do Número da Semana].[All]" allUniqueName="[Calendário].[Dia do Número da Semana].[All]" dimensionUniqueName="[Calendário]" displayFolder="" count="0" memberValueDatatype="20" unbalanced="0"/>
    <cacheHierarchy uniqueName="[Calendário].[Dia da Semana]" caption="Dia da Semana" attribute="1" time="1" defaultMemberUniqueName="[Calendário].[Dia da Semana].[All]" allUniqueName="[Calendário].[Dia da Semana].[All]" dimensionUniqueName="[Calendário]" displayFolder="" count="0" memberValueDatatype="130" unbalanced="0"/>
    <cacheHierarchy uniqueName="[Lançamentos].[ID]" caption="ID" attribute="1" defaultMemberUniqueName="[Lançamentos].[ID].[All]" allUniqueName="[Lançamentos].[ID].[All]" dimensionUniqueName="[Lançamentos]" displayFolder="" count="0" memberValueDatatype="20" unbalanced="0"/>
    <cacheHierarchy uniqueName="[Lançamentos].[Data de Emissão]" caption="Data de Emissão" attribute="1" time="1" defaultMemberUniqueName="[Lançamentos].[Data de Emissão].[All]" allUniqueName="[Lançamentos].[Data de Emissão].[All]" dimensionUniqueName="[Lançamentos]" displayFolder="" count="0" memberValueDatatype="7" unbalanced="0"/>
    <cacheHierarchy uniqueName="[Lançamentos].[Tipo]" caption="Tipo" attribute="1" defaultMemberUniqueName="[Lançamentos].[Tipo].[All]" allUniqueName="[Lançamentos].[Tipo].[All]" dimensionUniqueName="[Lançamentos]" displayFolder="" count="0" memberValueDatatype="130" unbalanced="0"/>
    <cacheHierarchy uniqueName="[Lançamentos].[Categoria]" caption="Categoria" attribute="1" defaultMemberUniqueName="[Lançamentos].[Categoria].[All]" allUniqueName="[Lançamentos].[Categoria].[All]" dimensionUniqueName="[Lançamentos]" displayFolder="" count="0" memberValueDatatype="130" unbalanced="0"/>
    <cacheHierarchy uniqueName="[Lançamentos].[Descrição]" caption="Descrição" attribute="1" defaultMemberUniqueName="[Lançamentos].[Descrição].[All]" allUniqueName="[Lançamentos].[Descrição].[All]" dimensionUniqueName="[Lançamentos]" displayFolder="" count="0" memberValueDatatype="130" unbalanced="0"/>
    <cacheHierarchy uniqueName="[Lançamentos].[Valor]" caption="Valor" attribute="1" defaultMemberUniqueName="[Lançamentos].[Valor].[All]" allUniqueName="[Lançamentos].[Valor].[All]" dimensionUniqueName="[Lançamentos]" displayFolder="" count="0" memberValueDatatype="5" unbalanced="0"/>
    <cacheHierarchy uniqueName="[Lançamentos].[Status]" caption="Status" attribute="1" defaultMemberUniqueName="[Lançamentos].[Status].[All]" allUniqueName="[Lançamentos].[Status].[All]" dimensionUniqueName="[Lançamentos]" displayFolder="" count="0" memberValueDatatype="130" unbalanced="0"/>
    <cacheHierarchy uniqueName="[Lançamentos].[Valor Real]" caption="Valor Real" attribute="1" defaultMemberUniqueName="[Lançamentos].[Valor Real].[All]" allUniqueName="[Lançamentos].[Valor Real].[All]" dimensionUniqueName="[Lançamentos]" displayFolder="" count="0" memberValueDatatype="5" unbalanced="0"/>
    <cacheHierarchy uniqueName="[Lançamentos].[Data de Emissão (Mês)]" caption="Data de Emissão (Mês)" attribute="1" defaultMemberUniqueName="[Lançamentos].[Data de Emissão (Mês)].[All]" allUniqueName="[Lançamentos].[Data de Emissão (Mês)].[All]" dimensionUniqueName="[Lançamentos]" displayFolder="" count="0" memberValueDatatype="130" unbalanced="0"/>
    <cacheHierarchy uniqueName="[Lançamentos].[Data de Emissão (Índice de Mês)]" caption="Data de Emissão (Índice de Mês)" attribute="1" defaultMemberUniqueName="[Lançamentos].[Data de Emissão (Índice de Mês)].[All]" allUniqueName="[Lançamentos].[Data de Emissão (Índice de Mês)].[All]" dimensionUniqueName="[Lançamentos]" displayFolder="" count="0" memberValueDatatype="20" unbalanced="0" hidden="1"/>
    <cacheHierarchy uniqueName="[Measures].[Soma de Valor]" caption="Soma de Valor" measure="1" displayFolder="" measureGroup="Lançamento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a de Valor Real]" caption="Soma de Valor Real" measure="1" displayFolder="" measureGroup="Lançamento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__XL_Count DataBase]" caption="__XL_Count DataBase" measure="1" displayFolder="" measureGroup="Lançamentos" count="0" hidden="1"/>
    <cacheHierarchy uniqueName="[Measures].[__XL_Count Calendário]" caption="__XL_Count Calendário" measure="1" displayFolder="" measureGroup="Calendário" count="0" hidden="1"/>
    <cacheHierarchy uniqueName="[Measures].[__Não há medidas definidas]" caption="__Não há medidas definidas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68056313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BCA883-2DC4-4219-8281-8A087E2785BD}" name="Despesas Mensais" cacheId="891" applyNumberFormats="0" applyBorderFormats="0" applyFontFormats="0" applyPatternFormats="0" applyAlignmentFormats="0" applyWidthHeightFormats="1" dataCaption="Valores" tag="d2cd2c60-c6ac-4d68-afcd-b2e7d5dd50e4" updatedVersion="8" minRefreshableVersion="3" itemPrintTitles="1" createdVersion="8" indent="0" outline="1" outlineData="1" multipleFieldFilters="0" chartFormat="1">
  <location ref="A20:B33" firstHeaderRow="1" firstDataRow="1" firstDataCol="1" rowPageCount="1" colPageCount="1"/>
  <pivotFields count="6"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llDrilled="1" subtotalTop="0" showAll="0" dataSourceSort="1" defaultSubtotal="0"/>
    <pivotField subtotalTop="0" showAll="0" dataSourceSort="1" defaultSubtotal="0"/>
    <pivotField subtotalTop="0" showAll="0" dataSourceSort="1" defaultSubtota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" hier="10" name="[Lançamentos].[Tipo].&amp;[Despesa]" cap="Despesa"/>
  </pageFields>
  <dataFields count="1">
    <dataField name="Soma de Valor" fld="0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multipleItemSelectionAllowed="1">
      <members count="1" level="2">
        <member name="[Calendário].[Hierarquia de Datas].[Mês].&amp;[agos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ançamentos]"/>
        <x15:activeTabTopLevelEntity name="[Calendá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E53A7A-4B28-4A37-9324-47FF93A47F66}" name="Receitas Mensais" cacheId="888" applyNumberFormats="0" applyBorderFormats="0" applyFontFormats="0" applyPatternFormats="0" applyAlignmentFormats="0" applyWidthHeightFormats="1" dataCaption="Valores" tag="0b83f373-f765-41f3-aff5-afc531cb5cf4" updatedVersion="8" minRefreshableVersion="3" itemPrintTitles="1" createdVersion="8" indent="0" outline="1" outlineData="1" multipleFieldFilters="0" chartFormat="3">
  <location ref="A3:B16" firstHeaderRow="1" firstDataRow="1" firstDataCol="1" rowPageCount="1" colPageCount="1"/>
  <pivotFields count="6"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llDrilled="1" subtotalTop="0" showAll="0" dataSourceSort="1" defaultSubtotal="0"/>
    <pivotField subtotalTop="0" showAll="0" dataSourceSort="1" defaultSubtotal="0"/>
    <pivotField subtotalTop="0" showAll="0" dataSourceSort="1" defaultSubtota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0" hier="10" name="[Lançamentos].[Tipo].&amp;[Receita]" cap="Receita"/>
  </pageFields>
  <dataFields count="1">
    <dataField name="Soma de Valor" fld="1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multipleItemSelectionAllowed="1">
      <members count="1" level="2">
        <member name="[Calendário].[Hierarquia de Datas].[Mês].&amp;[agos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ançamentos]"/>
        <x15:activeTabTopLevelEntity name="[Calendá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5D29CF-06A1-47E0-B214-E0A276C5A79C}" name="Lucro Anual" cacheId="894" applyNumberFormats="0" applyBorderFormats="0" applyFontFormats="0" applyPatternFormats="0" applyAlignmentFormats="0" applyWidthHeightFormats="1" dataCaption="Valores" tag="b5bf65ad-174f-452c-b3ef-70463612c488" updatedVersion="8" minRefreshableVersion="3" useAutoFormatting="1" itemPrintTitles="1" createdVersion="8" indent="0" outline="1" outlineData="1" multipleFieldFilters="0">
  <location ref="K1:L14" firstHeaderRow="1" firstDataRow="1" firstDataCol="1"/>
  <pivotFields count="2">
    <pivotField dataField="1" subtotalTop="0" showAll="0" defaultSubtotal="0"/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eal" fld="0" baseField="0" baseItem="0"/>
  </dataFields>
  <pivotHierarchies count="23"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ançamentos]"/>
        <x15:activeTabTopLevelEntity name="[Calendá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CB50B2-F6AA-4CAF-A5F9-3DBD9199F9AA}" name="Lucro Mensal" cacheId="1393" applyNumberFormats="0" applyBorderFormats="0" applyFontFormats="0" applyPatternFormats="0" applyAlignmentFormats="0" applyWidthHeightFormats="1" dataCaption="Valores" tag="f7343839-43dd-4032-9d71-d947ed816df9" updatedVersion="8" minRefreshableVersion="3" subtotalHiddenItems="1" itemPrintTitles="1" createdVersion="8" indent="0" outline="1" outlineData="1" multipleFieldFilters="0" chartFormat="4">
  <location ref="G3:I35" firstHeaderRow="0" firstDataRow="1" firstDataCol="1" rowPageCount="1" colPageCount="1"/>
  <pivotFields count="7">
    <pivotField allDrilled="1" subtotalTop="0" showAll="0" dataSourceSort="1" defaultSubtotal="0"/>
    <pivotField subtotalTop="0" showAll="0" dataSourceSort="1" defaultSubtotal="0"/>
    <pivotField subtotalTop="0" showAll="0" dataSourceSort="1" defaultSubtotal="0"/>
    <pivotField axis="axisRow" allDrilled="1" subtotalTop="0" showAll="0" dataSourceSort="1" defaultSubtotal="0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3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2">
    <i>
      <x/>
    </i>
    <i i="1">
      <x v="1"/>
    </i>
  </colItems>
  <pageFields count="1">
    <pageField fld="4" hier="3" name="[Calendário].[Mês].[All]" cap="All"/>
  </pageFields>
  <dataFields count="2">
    <dataField name="Valor Acumulativo" fld="5" showDataAs="runTotal" baseField="3" baseItem="0"/>
    <dataField name="Valor Isolado" fld="6" baseField="3" baseItem="0">
      <extLst>
        <ext xmlns:x14="http://schemas.microsoft.com/office/spreadsheetml/2009/9/main" uri="{E15A36E0-9728-4e99-A89B-3F7291B0FE68}">
          <x14:dataField sourceField="5" uniqueName="[__Xl2].[Measures].[Soma de Valor Real]"/>
        </ext>
      </extLst>
    </dataField>
  </dataFields>
  <formats count="2">
    <format dxfId="26">
      <pivotArea dataOnly="0" labelOnly="1" grandRow="1" outline="0" fieldPosition="0"/>
    </format>
    <format dxfId="27">
      <pivotArea dataOnly="0" labelOnly="1" fieldPosition="0">
        <references count="1">
          <reference field="3" count="0"/>
        </references>
      </pivotArea>
    </format>
  </formats>
  <chartFormats count="2"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multipleItemSelectionAllowed="1">
      <members count="1" level="2">
        <member name="[Calendário].[Hierarquia de Datas].[Mês].&amp;[dezembr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alor Isolad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ançamentos]"/>
        <x15:activeTabTopLevelEntity name="[Calendá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C3B02-C16C-4564-BF5E-5C15ADC187D2}" name="Distribuição Despesa" cacheId="1396" applyNumberFormats="0" applyBorderFormats="0" applyFontFormats="0" applyPatternFormats="0" applyAlignmentFormats="0" applyWidthHeightFormats="1" dataCaption="Valores" tag="7cb6e927-2e94-4e23-a7aa-69428c2d277e" updatedVersion="8" minRefreshableVersion="3" subtotalHiddenItems="1" itemPrintTitles="1" createdVersion="8" indent="0" outline="1" outlineData="1" multipleFieldFilters="0" chartFormat="1">
  <location ref="D14:E21" firstHeaderRow="1" firstDataRow="1" firstDataCol="1" rowPageCount="2" colPageCount="1"/>
  <pivotFields count="7"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sortType="descending" dataSourceSort="1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allDrilled="1" subtotalTop="0" showAll="0" dataSourceSort="1" defaultSubtotal="0" defaultAttributeDrillState="1"/>
    <pivotField allDrilled="1" subtotalTop="0" showAll="0" dataSourceSort="1" defaultSubtotal="0"/>
    <pivotField subtotalTop="0" showAll="0" dataSourceSort="1" defaultSubtotal="0"/>
    <pivotField subtotalTop="0" showAll="0" dataSourceSort="1" defaultSubtotal="0"/>
  </pivotFields>
  <rowFields count="1">
    <field x="2"/>
  </rowFields>
  <rowItems count="7">
    <i>
      <x v="5"/>
    </i>
    <i>
      <x v="4"/>
    </i>
    <i>
      <x v="3"/>
    </i>
    <i>
      <x/>
    </i>
    <i>
      <x v="2"/>
    </i>
    <i>
      <x v="1"/>
    </i>
    <i t="grand">
      <x/>
    </i>
  </rowItems>
  <colItems count="1">
    <i/>
  </colItems>
  <pageFields count="2">
    <pageField fld="3" hier="3" name="[Calendário].[Mês].[All]" cap="All"/>
    <pageField fld="1" hier="10" name="[Lançamentos].[Tipo].&amp;[Despesa]" cap="Despesa"/>
  </pageFields>
  <dataFields count="1">
    <dataField name="Soma de Valor" fld="0" baseField="0" baseItem="0"/>
  </dataFields>
  <chartFormats count="7">
    <chartFormat chart="0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multipleItemSelectionAllowed="1">
      <members count="1" level="2">
        <member name="[Calendário].[Hierarquia de Datas].[Mês].&amp;[dezembr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ançamentos]"/>
        <x15:activeTabTopLevelEntity name="[Calendá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4ED545-0960-48CA-BA20-D18FAED702AA}" name="Distribuição Receita" cacheId="1399" applyNumberFormats="0" applyBorderFormats="0" applyFontFormats="0" applyPatternFormats="0" applyAlignmentFormats="0" applyWidthHeightFormats="1" dataCaption="Valores" tag="44d848d5-917f-480d-b7cf-6b3e606ebb8d" updatedVersion="8" minRefreshableVersion="3" useAutoFormatting="1" subtotalHiddenItems="1" itemPrintTitles="1" createdVersion="8" indent="0" outline="1" outlineData="1" multipleFieldFilters="0" chartFormat="4">
  <location ref="D4:E9" firstHeaderRow="1" firstDataRow="1" firstDataCol="1" rowPageCount="2" colPageCount="1"/>
  <pivotFields count="7">
    <pivotField axis="axisPage" allDrilled="1" subtotalTop="0" showAll="0" dataSourceSort="1" defaultSubtotal="0" defaultAttributeDrillState="1"/>
    <pivotField axis="axisRow" allDrilled="1" subtotalTop="0" showAll="0" sortType="descending" dataSourceSort="1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Page" allDrilled="1" subtotalTop="0" showAll="0" dataSourceSort="1" defaultSubtotal="0" defaultAttributeDrillState="1"/>
    <pivotField allDrilled="1" subtotalTop="0" showAll="0" dataSourceSort="1" defaultSubtotal="0"/>
    <pivotField subtotalTop="0" showAll="0" dataSourceSort="1" defaultSubtotal="0"/>
    <pivotField subtotalTop="0" showAll="0" dataSourceSort="1" defaultSubtotal="0"/>
  </pivotFields>
  <rowFields count="1">
    <field x="1"/>
  </rowFields>
  <rowItems count="5">
    <i>
      <x v="3"/>
    </i>
    <i>
      <x v="2"/>
    </i>
    <i>
      <x/>
    </i>
    <i>
      <x v="1"/>
    </i>
    <i t="grand">
      <x/>
    </i>
  </rowItems>
  <colItems count="1">
    <i/>
  </colItems>
  <pageFields count="2">
    <pageField fld="3" hier="3" name="[Calendário].[Mês].[All]" cap="All"/>
    <pageField fld="0" hier="10" name="[Lançamentos].[Tipo].&amp;[Receita]" cap="Receita"/>
  </pageFields>
  <dataFields count="1">
    <dataField name="Soma de Valor Real" fld="2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multipleItemSelectionAllowed="1">
      <members count="1" level="2">
        <member name="[Calendário].[Hierarquia de Datas].[Mês].&amp;[dezembr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ançamentos]"/>
        <x15:activeTabTopLevelEntity name="[Calendá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Hierarquia_de_Datas" xr10:uid="{CC41FE3F-0360-4158-B930-E9633BF330A0}" sourceName="[Calendário].[Hierarquia de Datas]">
  <pivotTables>
    <pivotTable tabId="11" name="Lucro Mensal"/>
    <pivotTable tabId="11" name="Distribuição Despesa"/>
    <pivotTable tabId="11" name="Distribuição Receita"/>
  </pivotTables>
  <data>
    <olap pivotCacheId="680563137">
      <levels count="4">
        <level uniqueName="[Calendário].[Hierarquia de Datas].[(All)]" sourceCaption="(All)" count="0"/>
        <level uniqueName="[Calendário].[Hierarquia de Datas].[Ano]" sourceCaption="Ano" count="0"/>
        <level uniqueName="[Calendário].[Hierarquia de Datas].[Mês]" sourceCaption="Mês" count="12">
          <ranges>
            <range startItem="0">
              <i n="[Calendário].[Hierarquia de Datas].[Mês].&amp;[janeiro]" c="janeiro">
                <p n="[Calendário].[Hierarquia de Datas].[Ano].&amp;[2025]"/>
              </i>
              <i n="[Calendário].[Hierarquia de Datas].[Mês].&amp;[fevereiro]" c="fevereiro">
                <p n="[Calendário].[Hierarquia de Datas].[Ano].&amp;[2025]"/>
              </i>
              <i n="[Calendário].[Hierarquia de Datas].[Mês].&amp;[março]" c="março">
                <p n="[Calendário].[Hierarquia de Datas].[Ano].&amp;[2025]"/>
              </i>
              <i n="[Calendário].[Hierarquia de Datas].[Mês].&amp;[abril]" c="abril">
                <p n="[Calendário].[Hierarquia de Datas].[Ano].&amp;[2025]"/>
              </i>
              <i n="[Calendário].[Hierarquia de Datas].[Mês].&amp;[maio]" c="maio">
                <p n="[Calendário].[Hierarquia de Datas].[Ano].&amp;[2025]"/>
              </i>
              <i n="[Calendário].[Hierarquia de Datas].[Mês].&amp;[junho]" c="junho">
                <p n="[Calendário].[Hierarquia de Datas].[Ano].&amp;[2025]"/>
              </i>
              <i n="[Calendário].[Hierarquia de Datas].[Mês].&amp;[julho]" c="julho">
                <p n="[Calendário].[Hierarquia de Datas].[Ano].&amp;[2025]"/>
              </i>
              <i n="[Calendário].[Hierarquia de Datas].[Mês].&amp;[agosto]" c="agosto">
                <p n="[Calendário].[Hierarquia de Datas].[Ano].&amp;[2025]"/>
              </i>
              <i n="[Calendário].[Hierarquia de Datas].[Mês].&amp;[setembro]" c="setembro">
                <p n="[Calendário].[Hierarquia de Datas].[Ano].&amp;[2025]"/>
              </i>
              <i n="[Calendário].[Hierarquia de Datas].[Mês].&amp;[outubro]" c="outubro">
                <p n="[Calendário].[Hierarquia de Datas].[Ano].&amp;[2025]"/>
              </i>
              <i n="[Calendário].[Hierarquia de Datas].[Mês].&amp;[novembro]" c="novembro">
                <p n="[Calendário].[Hierarquia de Datas].[Ano].&amp;[2025]"/>
              </i>
              <i n="[Calendário].[Hierarquia de Datas].[Mês].&amp;[dezembro]" c="dezembro">
                <p n="[Calendário].[Hierarquia de Datas].[Ano].&amp;[2025]"/>
              </i>
            </range>
          </ranges>
        </level>
        <level uniqueName="[Calendário].[Hierarquia de Datas].[DateColumn]" sourceCaption="DateColumn" count="0"/>
      </levels>
      <selections count="1">
        <selection n="[Calendário].[Hierarquia de Datas].[Mês].&amp;[dezembro]">
          <p n="[Calendário].[Hierarquia de Datas].[Ano].&amp;[2025]"/>
        </selection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EFA1C3AD-6D81-4B2A-8E61-C2EC2CDCA3C3}" cache="SegmentaçãodeDados_Hierarquia_de_Datas" caption="Mês" startItem="6" level="2" style="SlicerStyleOther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66E780-0954-46BD-821C-E68FDF11A9EE}" name="Tabela5" displayName="Tabela5" ref="A3:G8" totalsRowShown="0">
  <autoFilter ref="A3:G8" xr:uid="{EE66E780-0954-46BD-821C-E68FDF11A9EE}"/>
  <tableColumns count="7">
    <tableColumn id="1" xr3:uid="{48B635DB-40E1-4330-9EA8-5F42A20955B4}" name="ID"/>
    <tableColumn id="2" xr3:uid="{6147A3F4-644A-4B44-BEB0-444E232A04FA}" name=" Data de Emissão" dataDxfId="83"/>
    <tableColumn id="3" xr3:uid="{105C7CBF-D385-4AAA-B803-8961401FB20D}" name="Tipo"/>
    <tableColumn id="4" xr3:uid="{6783F412-564A-48E1-8545-9295043FA7CF}" name=" Categoria"/>
    <tableColumn id="5" xr3:uid="{96B12FFD-3A94-4634-97B5-D451031679B8}" name=" Descrição"/>
    <tableColumn id="6" xr3:uid="{B03C430C-EAEE-4CF5-AF4A-1F0D9FD8141D}" name=" Valor"/>
    <tableColumn id="7" xr3:uid="{042252FC-6ADB-4F44-A2D8-6969057633C0}" name="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64252E-B118-48CD-82B8-A0D71C584231}" name="DataBase" displayName="DataBase" ref="A4:H2004" totalsRowShown="0" dataDxfId="82">
  <tableColumns count="8">
    <tableColumn id="1" xr3:uid="{DBF18964-0734-4A23-B0D4-CAF242E73165}" name="ID" dataDxfId="81"/>
    <tableColumn id="2" xr3:uid="{3AE9DEED-895D-4228-9E11-5D1F5EC64964}" name=" Data de Emissão" dataDxfId="80"/>
    <tableColumn id="8" xr3:uid="{8330207B-560F-4568-9A23-7BB5D4D8C872}" name="Tipo" dataDxfId="79"/>
    <tableColumn id="4" xr3:uid="{AD9B09D5-AB42-47A4-9581-F86223E08CAE}" name=" Categoria" dataDxfId="78"/>
    <tableColumn id="3" xr3:uid="{2E135C14-CA09-460A-A91D-7A70AFB4E3E3}" name=" Descrição" dataDxfId="77"/>
    <tableColumn id="6" xr3:uid="{417B6740-B8AC-4516-9344-86B4A128E827}" name=" Valor" dataDxfId="76"/>
    <tableColumn id="9" xr3:uid="{1B2F800F-2BCF-479E-B42D-A24977077C91}" name=" Status" dataDxfId="75"/>
    <tableColumn id="7" xr3:uid="{B8EBE41B-7716-4374-A448-2D359B2CCB0A}" name="Valor Real" dataDxfId="74">
      <calculatedColumnFormula>IF(C5="Despesa", F5*-1, F5)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87BC4B-35AB-4764-92A5-E8E7A83D07B0}" name="Despesas" displayName="Despesas" ref="A2:F12" totalsRowShown="0" headerRowDxfId="73" dataDxfId="72">
  <autoFilter ref="A2:F12" xr:uid="{9B87BC4B-35AB-4764-92A5-E8E7A83D07B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A1BA7F2-B2B5-40B7-B646-C26088C4381F}" name="Pessoal" dataDxfId="71"/>
    <tableColumn id="2" xr3:uid="{7D4364B5-6CE5-4748-964D-BBC9B0DE6FA2}" name="Financeiro" dataDxfId="70"/>
    <tableColumn id="3" xr3:uid="{164FDA78-9347-4BAF-885C-E80C152CAEA5}" name="Operacional" dataDxfId="69"/>
    <tableColumn id="4" xr3:uid="{74EA38EC-228C-4DE0-B825-BE413E293C9D}" name="Marketing" dataDxfId="68"/>
    <tableColumn id="5" xr3:uid="{DB5CA464-8F62-4DF3-A0AB-E54AD76182B1}" name="Administrativo" dataDxfId="67"/>
    <tableColumn id="6" xr3:uid="{E4690C01-88E7-4A7D-938B-7E12793564D2}" name="Tecnologia" dataDxfId="6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908C59-7405-40C9-8BC1-ACC253DF3267}" name="Tabela3" displayName="Tabela3" ref="H2:K12" totalsRowShown="0" headerRowDxfId="65" dataDxfId="64">
  <autoFilter ref="H2:K12" xr:uid="{93908C59-7405-40C9-8BC1-ACC253DF3267}">
    <filterColumn colId="0" hiddenButton="1"/>
    <filterColumn colId="1" hiddenButton="1"/>
    <filterColumn colId="2" hiddenButton="1"/>
    <filterColumn colId="3" hiddenButton="1"/>
  </autoFilter>
  <tableColumns count="4">
    <tableColumn id="1" xr3:uid="{326C58AD-5C79-419C-B3C1-D8AF8273D900}" name="Recorrentes" dataDxfId="63"/>
    <tableColumn id="2" xr3:uid="{F3869B6B-0200-402C-BD33-C387B8D86E1C}" name="Projetos" dataDxfId="62"/>
    <tableColumn id="3" xr3:uid="{7447AE6D-6F33-4EB1-9E1F-6DA60835278E}" name="Comércio" dataDxfId="61"/>
    <tableColumn id="4" xr3:uid="{265A32B4-D3EB-4CB1-A7E5-82645E7EBFC0}" name="Outras" dataDxfId="6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6" dT="2026-09-05T14:52:24.72" personId="{5D9A6B6A-C3DF-4AA8-8F89-0FC5498F3AD8}" id="{2C41F35C-3027-49C7-B858-719416911214}">
    <text>Lista de Tarefas:
- Criar sistema de filtragem com Power Pivot
- Melhorar interface da Aba de Lançamentos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2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9DAAF-E1DA-4DE5-B63C-4B7071D887DD}">
  <dimension ref="A1:L35"/>
  <sheetViews>
    <sheetView zoomScale="90" zoomScaleNormal="90" workbookViewId="0">
      <selection activeCell="K23" sqref="K23"/>
    </sheetView>
  </sheetViews>
  <sheetFormatPr defaultColWidth="20.77734375" defaultRowHeight="14.4"/>
  <cols>
    <col min="1" max="1" width="15.33203125" bestFit="1" customWidth="1"/>
    <col min="2" max="2" width="18.88671875" customWidth="1"/>
    <col min="3" max="3" width="1.88671875" customWidth="1"/>
    <col min="4" max="4" width="18.109375" bestFit="1" customWidth="1"/>
    <col min="5" max="5" width="18" bestFit="1" customWidth="1"/>
    <col min="6" max="6" width="3.33203125" customWidth="1"/>
    <col min="7" max="7" width="18.109375" bestFit="1" customWidth="1"/>
    <col min="8" max="8" width="18" bestFit="1" customWidth="1"/>
    <col min="9" max="9" width="20.33203125" customWidth="1"/>
    <col min="10" max="10" width="2.88671875" customWidth="1"/>
    <col min="11" max="11" width="18.109375" bestFit="1" customWidth="1"/>
    <col min="12" max="12" width="18" bestFit="1" customWidth="1"/>
    <col min="13" max="13" width="4.33203125" bestFit="1" customWidth="1"/>
    <col min="14" max="14" width="3.77734375" bestFit="1" customWidth="1"/>
    <col min="15" max="15" width="3.33203125" bestFit="1" customWidth="1"/>
    <col min="16" max="16" width="4.21875" bestFit="1" customWidth="1"/>
    <col min="17" max="17" width="3.77734375" bestFit="1" customWidth="1"/>
    <col min="18" max="18" width="3.88671875" bestFit="1" customWidth="1"/>
    <col min="19" max="19" width="4.33203125" bestFit="1" customWidth="1"/>
    <col min="20" max="20" width="4.21875" bestFit="1" customWidth="1"/>
    <col min="21" max="21" width="10.5546875" bestFit="1" customWidth="1"/>
    <col min="22" max="362" width="19.77734375" bestFit="1" customWidth="1"/>
    <col min="363" max="363" width="10.5546875" bestFit="1" customWidth="1"/>
  </cols>
  <sheetData>
    <row r="1" spans="1:12">
      <c r="A1" s="20" t="s">
        <v>12</v>
      </c>
      <c r="B1" t="s" vm="2">
        <v>5</v>
      </c>
      <c r="D1" s="20" t="s">
        <v>145</v>
      </c>
      <c r="E1" t="s" vm="3">
        <v>147</v>
      </c>
      <c r="G1" s="20" t="s">
        <v>145</v>
      </c>
      <c r="H1" t="s" vm="3">
        <v>147</v>
      </c>
      <c r="K1" s="20" t="s">
        <v>116</v>
      </c>
      <c r="L1" t="s">
        <v>144</v>
      </c>
    </row>
    <row r="2" spans="1:12">
      <c r="D2" s="20" t="s">
        <v>12</v>
      </c>
      <c r="E2" t="s" vm="2">
        <v>5</v>
      </c>
      <c r="K2" s="21" t="s">
        <v>118</v>
      </c>
      <c r="L2" s="34">
        <v>56754.79</v>
      </c>
    </row>
    <row r="3" spans="1:12">
      <c r="A3" s="20" t="s">
        <v>116</v>
      </c>
      <c r="B3" t="s">
        <v>146</v>
      </c>
      <c r="G3" s="20" t="s">
        <v>116</v>
      </c>
      <c r="H3" t="s">
        <v>148</v>
      </c>
      <c r="I3" t="s">
        <v>149</v>
      </c>
      <c r="K3" s="21" t="s">
        <v>119</v>
      </c>
      <c r="L3" s="34">
        <v>52924.82</v>
      </c>
    </row>
    <row r="4" spans="1:12">
      <c r="A4" s="21" t="s">
        <v>118</v>
      </c>
      <c r="B4" s="34">
        <v>375118.14</v>
      </c>
      <c r="D4" s="20" t="s">
        <v>116</v>
      </c>
      <c r="E4" t="s">
        <v>144</v>
      </c>
      <c r="G4" s="35">
        <v>45992</v>
      </c>
      <c r="H4" s="34">
        <v>-8077.57</v>
      </c>
      <c r="I4" s="34">
        <v>-8077.57</v>
      </c>
      <c r="J4" s="34"/>
      <c r="K4" s="21" t="s">
        <v>120</v>
      </c>
      <c r="L4" s="34">
        <v>75534.62</v>
      </c>
    </row>
    <row r="5" spans="1:12">
      <c r="A5" s="21" t="s">
        <v>119</v>
      </c>
      <c r="B5" s="34">
        <v>398081.86</v>
      </c>
      <c r="D5" s="21" t="s">
        <v>75</v>
      </c>
      <c r="E5" s="34">
        <v>183651.03</v>
      </c>
      <c r="G5" s="35">
        <v>45993</v>
      </c>
      <c r="H5" s="34">
        <v>4398.1399999999994</v>
      </c>
      <c r="I5" s="34">
        <v>12475.71</v>
      </c>
      <c r="J5" s="34"/>
      <c r="K5" s="21" t="s">
        <v>121</v>
      </c>
      <c r="L5" s="34">
        <v>138086.95000000001</v>
      </c>
    </row>
    <row r="6" spans="1:12">
      <c r="A6" s="21" t="s">
        <v>120</v>
      </c>
      <c r="B6" s="34">
        <v>418396.82</v>
      </c>
      <c r="D6" s="21" t="s">
        <v>18</v>
      </c>
      <c r="E6" s="34">
        <v>127148.23</v>
      </c>
      <c r="G6" s="35">
        <v>45994</v>
      </c>
      <c r="H6" s="34">
        <v>4737.0499999999993</v>
      </c>
      <c r="I6" s="34">
        <v>338.91</v>
      </c>
      <c r="J6" s="34"/>
      <c r="K6" s="21" t="s">
        <v>122</v>
      </c>
      <c r="L6" s="34">
        <v>-78216.179999999993</v>
      </c>
    </row>
    <row r="7" spans="1:12">
      <c r="A7" s="21" t="s">
        <v>121</v>
      </c>
      <c r="B7" s="34">
        <v>460326.34</v>
      </c>
      <c r="D7" s="21" t="s">
        <v>76</v>
      </c>
      <c r="E7" s="34">
        <v>115410.66</v>
      </c>
      <c r="G7" s="35">
        <v>45995</v>
      </c>
      <c r="H7" s="34">
        <v>-8454.01</v>
      </c>
      <c r="I7" s="34">
        <v>-13191.06</v>
      </c>
      <c r="J7" s="34"/>
      <c r="K7" s="21" t="s">
        <v>123</v>
      </c>
      <c r="L7" s="34">
        <v>20965.66</v>
      </c>
    </row>
    <row r="8" spans="1:12">
      <c r="A8" s="21" t="s">
        <v>122</v>
      </c>
      <c r="B8" s="34">
        <v>394829.97</v>
      </c>
      <c r="D8" s="21" t="s">
        <v>77</v>
      </c>
      <c r="E8" s="34">
        <v>1922.21</v>
      </c>
      <c r="G8" s="35">
        <v>45996</v>
      </c>
      <c r="H8" s="34">
        <v>-3781.67</v>
      </c>
      <c r="I8" s="34">
        <v>4672.34</v>
      </c>
      <c r="J8" s="34"/>
      <c r="K8" s="21" t="s">
        <v>124</v>
      </c>
      <c r="L8" s="34">
        <v>-18966.27</v>
      </c>
    </row>
    <row r="9" spans="1:12">
      <c r="A9" s="21" t="s">
        <v>123</v>
      </c>
      <c r="B9" s="34">
        <v>387588.46</v>
      </c>
      <c r="D9" s="21" t="s">
        <v>117</v>
      </c>
      <c r="E9" s="34">
        <v>428132.13</v>
      </c>
      <c r="G9" s="35">
        <v>45997</v>
      </c>
      <c r="H9" s="34">
        <v>-5662.66</v>
      </c>
      <c r="I9" s="34">
        <v>-1880.99</v>
      </c>
      <c r="J9" s="34"/>
      <c r="K9" s="21" t="s">
        <v>125</v>
      </c>
      <c r="L9" s="34">
        <v>1966.66</v>
      </c>
    </row>
    <row r="10" spans="1:12">
      <c r="A10" s="21" t="s">
        <v>124</v>
      </c>
      <c r="B10" s="34">
        <v>367519.49</v>
      </c>
      <c r="G10" s="35">
        <v>45998</v>
      </c>
      <c r="H10" s="34">
        <v>-11023.33</v>
      </c>
      <c r="I10" s="34">
        <v>-5360.67</v>
      </c>
      <c r="J10" s="34"/>
      <c r="K10" s="21" t="s">
        <v>126</v>
      </c>
      <c r="L10" s="34">
        <v>-36641.980000000003</v>
      </c>
    </row>
    <row r="11" spans="1:12">
      <c r="A11" s="21" t="s">
        <v>125</v>
      </c>
      <c r="B11" s="34">
        <v>295463.65999999997</v>
      </c>
      <c r="D11" s="20" t="s">
        <v>145</v>
      </c>
      <c r="E11" t="s" vm="3">
        <v>147</v>
      </c>
      <c r="G11" s="35">
        <v>45999</v>
      </c>
      <c r="H11" s="34">
        <v>-28134.120000000003</v>
      </c>
      <c r="I11" s="34">
        <v>-17110.79</v>
      </c>
      <c r="J11" s="34"/>
      <c r="K11" s="21" t="s">
        <v>127</v>
      </c>
      <c r="L11" s="34">
        <v>-29145.97</v>
      </c>
    </row>
    <row r="12" spans="1:12">
      <c r="A12" s="21" t="s">
        <v>126</v>
      </c>
      <c r="B12" s="34">
        <v>290506.92</v>
      </c>
      <c r="D12" s="20" t="s">
        <v>12</v>
      </c>
      <c r="E12" t="s" vm="1">
        <v>113</v>
      </c>
      <c r="G12" s="35">
        <v>46000</v>
      </c>
      <c r="H12" s="34">
        <v>-20010.36</v>
      </c>
      <c r="I12" s="34">
        <v>8123.76</v>
      </c>
      <c r="J12" s="34"/>
      <c r="K12" s="21" t="s">
        <v>128</v>
      </c>
      <c r="L12" s="34">
        <v>170893.3</v>
      </c>
    </row>
    <row r="13" spans="1:12">
      <c r="A13" s="21" t="s">
        <v>127</v>
      </c>
      <c r="B13" s="34">
        <v>389953.39</v>
      </c>
      <c r="G13" s="35">
        <v>46001</v>
      </c>
      <c r="H13" s="34">
        <v>-2312.2099999999991</v>
      </c>
      <c r="I13" s="34">
        <v>17698.150000000001</v>
      </c>
      <c r="J13" s="34"/>
      <c r="K13" s="21" t="s">
        <v>129</v>
      </c>
      <c r="L13" s="34">
        <v>112843.6</v>
      </c>
    </row>
    <row r="14" spans="1:12">
      <c r="A14" s="21" t="s">
        <v>128</v>
      </c>
      <c r="B14" s="34">
        <v>464082.82</v>
      </c>
      <c r="D14" s="20" t="s">
        <v>116</v>
      </c>
      <c r="E14" t="s">
        <v>146</v>
      </c>
      <c r="G14" s="35">
        <v>46002</v>
      </c>
      <c r="H14" s="34">
        <v>10624.53</v>
      </c>
      <c r="I14" s="34">
        <v>12936.74</v>
      </c>
      <c r="J14" s="34"/>
      <c r="K14" s="21" t="s">
        <v>117</v>
      </c>
      <c r="L14" s="34">
        <v>467000</v>
      </c>
    </row>
    <row r="15" spans="1:12">
      <c r="A15" s="21" t="s">
        <v>129</v>
      </c>
      <c r="B15" s="34">
        <v>428132.13</v>
      </c>
      <c r="D15" s="21" t="s">
        <v>14</v>
      </c>
      <c r="E15" s="34">
        <v>81813.649999999994</v>
      </c>
      <c r="G15" s="35">
        <v>46003</v>
      </c>
      <c r="H15" s="34">
        <v>3959.3600000000006</v>
      </c>
      <c r="I15" s="34">
        <v>-6665.17</v>
      </c>
      <c r="J15" s="34"/>
    </row>
    <row r="16" spans="1:12">
      <c r="A16" s="21" t="s">
        <v>117</v>
      </c>
      <c r="B16" s="34">
        <v>4670000</v>
      </c>
      <c r="D16" s="21" t="s">
        <v>10</v>
      </c>
      <c r="E16" s="34">
        <v>81039.34</v>
      </c>
      <c r="G16" s="35">
        <v>46004</v>
      </c>
      <c r="H16" s="34">
        <v>19163.989999999998</v>
      </c>
      <c r="I16" s="34">
        <v>15204.63</v>
      </c>
      <c r="J16" s="34"/>
    </row>
    <row r="17" spans="1:10">
      <c r="D17" s="21" t="s">
        <v>15</v>
      </c>
      <c r="E17" s="34">
        <v>73106.44</v>
      </c>
      <c r="G17" s="35">
        <v>46005</v>
      </c>
      <c r="H17" s="34">
        <v>37555.89</v>
      </c>
      <c r="I17" s="34">
        <v>18391.900000000001</v>
      </c>
      <c r="J17" s="34"/>
    </row>
    <row r="18" spans="1:10">
      <c r="A18" s="20" t="s">
        <v>12</v>
      </c>
      <c r="B18" t="s" vm="1">
        <v>113</v>
      </c>
      <c r="D18" s="21" t="s">
        <v>16</v>
      </c>
      <c r="E18" s="34">
        <v>38414.639999999999</v>
      </c>
      <c r="G18" s="35">
        <v>46006</v>
      </c>
      <c r="H18" s="34">
        <v>33734.269999999997</v>
      </c>
      <c r="I18" s="34">
        <v>-3821.62</v>
      </c>
      <c r="J18" s="34"/>
    </row>
    <row r="19" spans="1:10">
      <c r="D19" s="21" t="s">
        <v>9</v>
      </c>
      <c r="E19" s="34">
        <v>27987.79</v>
      </c>
      <c r="G19" s="35">
        <v>46007</v>
      </c>
      <c r="H19" s="34">
        <v>52281.85</v>
      </c>
      <c r="I19" s="34">
        <v>18547.580000000002</v>
      </c>
      <c r="J19" s="34"/>
    </row>
    <row r="20" spans="1:10">
      <c r="A20" s="20" t="s">
        <v>116</v>
      </c>
      <c r="B20" t="s">
        <v>146</v>
      </c>
      <c r="D20" s="21" t="s">
        <v>17</v>
      </c>
      <c r="E20" s="34">
        <v>12926.67</v>
      </c>
      <c r="G20" s="35">
        <v>46008</v>
      </c>
      <c r="H20" s="34">
        <v>53721.03</v>
      </c>
      <c r="I20" s="34">
        <v>1439.18</v>
      </c>
      <c r="J20" s="34"/>
    </row>
    <row r="21" spans="1:10">
      <c r="A21" s="21" t="s">
        <v>118</v>
      </c>
      <c r="B21" s="34">
        <v>318363.34999999998</v>
      </c>
      <c r="D21" s="21" t="s">
        <v>117</v>
      </c>
      <c r="E21" s="34">
        <v>315288.53000000003</v>
      </c>
      <c r="G21" s="35">
        <v>46009</v>
      </c>
      <c r="H21" s="34">
        <v>74330.259999999995</v>
      </c>
      <c r="I21" s="34">
        <v>20609.23</v>
      </c>
      <c r="J21" s="34"/>
    </row>
    <row r="22" spans="1:10">
      <c r="A22" s="21" t="s">
        <v>119</v>
      </c>
      <c r="B22" s="34">
        <v>345157.04</v>
      </c>
      <c r="G22" s="35">
        <v>46010</v>
      </c>
      <c r="H22" s="34">
        <v>85089.31</v>
      </c>
      <c r="I22" s="34">
        <v>10759.05</v>
      </c>
      <c r="J22" s="34"/>
    </row>
    <row r="23" spans="1:10">
      <c r="A23" s="21" t="s">
        <v>120</v>
      </c>
      <c r="B23" s="34">
        <v>342862.2</v>
      </c>
      <c r="G23" s="35">
        <v>46011</v>
      </c>
      <c r="H23" s="34">
        <v>88929.31</v>
      </c>
      <c r="I23" s="34">
        <v>3840</v>
      </c>
      <c r="J23" s="34"/>
    </row>
    <row r="24" spans="1:10">
      <c r="A24" s="21" t="s">
        <v>121</v>
      </c>
      <c r="B24" s="34">
        <v>322239.39</v>
      </c>
      <c r="G24" s="35">
        <v>46012</v>
      </c>
      <c r="H24" s="34">
        <v>83978.89</v>
      </c>
      <c r="I24" s="34">
        <v>-4950.42</v>
      </c>
      <c r="J24" s="34"/>
    </row>
    <row r="25" spans="1:10">
      <c r="A25" s="21" t="s">
        <v>122</v>
      </c>
      <c r="B25" s="34">
        <v>473046.15</v>
      </c>
      <c r="G25" s="35">
        <v>46013</v>
      </c>
      <c r="H25" s="34">
        <v>87486.17</v>
      </c>
      <c r="I25" s="34">
        <v>3507.28</v>
      </c>
      <c r="J25" s="34"/>
    </row>
    <row r="26" spans="1:10">
      <c r="A26" s="21" t="s">
        <v>123</v>
      </c>
      <c r="B26" s="34">
        <v>366622.8</v>
      </c>
      <c r="G26" s="35">
        <v>46014</v>
      </c>
      <c r="H26" s="34">
        <v>95668.069999999992</v>
      </c>
      <c r="I26" s="34">
        <v>8181.9</v>
      </c>
      <c r="J26" s="34"/>
    </row>
    <row r="27" spans="1:10">
      <c r="A27" s="21" t="s">
        <v>124</v>
      </c>
      <c r="B27" s="34">
        <v>386485.76000000001</v>
      </c>
      <c r="G27" s="35">
        <v>46015</v>
      </c>
      <c r="H27" s="34">
        <v>123639.76999999999</v>
      </c>
      <c r="I27" s="34">
        <v>27971.7</v>
      </c>
      <c r="J27" s="34"/>
    </row>
    <row r="28" spans="1:10">
      <c r="A28" s="21" t="s">
        <v>125</v>
      </c>
      <c r="B28" s="34">
        <v>293497</v>
      </c>
      <c r="G28" s="35">
        <v>46016</v>
      </c>
      <c r="H28" s="34">
        <v>131235.41999999998</v>
      </c>
      <c r="I28" s="34">
        <v>7595.65</v>
      </c>
      <c r="J28" s="34"/>
    </row>
    <row r="29" spans="1:10">
      <c r="A29" s="21" t="s">
        <v>126</v>
      </c>
      <c r="B29" s="34">
        <v>327148.90000000002</v>
      </c>
      <c r="G29" s="35">
        <v>46017</v>
      </c>
      <c r="H29" s="34">
        <v>116862.19999999998</v>
      </c>
      <c r="I29" s="34">
        <v>-14373.22</v>
      </c>
      <c r="J29" s="34"/>
    </row>
    <row r="30" spans="1:10">
      <c r="A30" s="21" t="s">
        <v>127</v>
      </c>
      <c r="B30" s="34">
        <v>419099.36</v>
      </c>
      <c r="G30" s="35">
        <v>46018</v>
      </c>
      <c r="H30" s="34">
        <v>109666.48999999998</v>
      </c>
      <c r="I30" s="34">
        <v>-7195.71</v>
      </c>
      <c r="J30" s="34"/>
    </row>
    <row r="31" spans="1:10">
      <c r="A31" s="21" t="s">
        <v>128</v>
      </c>
      <c r="B31" s="34">
        <v>293189.52</v>
      </c>
      <c r="G31" s="35">
        <v>46019</v>
      </c>
      <c r="H31" s="34">
        <v>108850.41999999997</v>
      </c>
      <c r="I31" s="34">
        <v>-816.07</v>
      </c>
      <c r="J31" s="34"/>
    </row>
    <row r="32" spans="1:10">
      <c r="A32" s="21" t="s">
        <v>129</v>
      </c>
      <c r="B32" s="34">
        <v>315288.53000000003</v>
      </c>
      <c r="G32" s="35">
        <v>46020</v>
      </c>
      <c r="H32" s="34">
        <v>117363.62999999998</v>
      </c>
      <c r="I32" s="34">
        <v>8513.2099999999991</v>
      </c>
      <c r="J32" s="34"/>
    </row>
    <row r="33" spans="1:10">
      <c r="A33" s="21" t="s">
        <v>117</v>
      </c>
      <c r="B33" s="34">
        <v>4203000</v>
      </c>
      <c r="G33" s="35">
        <v>46021</v>
      </c>
      <c r="H33" s="34">
        <v>120265.69999999998</v>
      </c>
      <c r="I33" s="34">
        <v>2902.07</v>
      </c>
      <c r="J33" s="34"/>
    </row>
    <row r="34" spans="1:10">
      <c r="G34" s="35">
        <v>46022</v>
      </c>
      <c r="H34" s="34">
        <v>112843.59999999998</v>
      </c>
      <c r="I34" s="34">
        <v>-7422.1</v>
      </c>
      <c r="J34" s="34"/>
    </row>
    <row r="35" spans="1:10">
      <c r="G35" s="35" t="s">
        <v>117</v>
      </c>
      <c r="H35" s="34"/>
      <c r="I35" s="34">
        <v>112843.6</v>
      </c>
      <c r="J35" s="3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E2052-758C-4B10-89B0-54EE179BDF4A}">
  <sheetPr codeName="Planilha1"/>
  <dimension ref="A1:XFD31"/>
  <sheetViews>
    <sheetView tabSelected="1" zoomScale="97" zoomScaleNormal="97" workbookViewId="0">
      <selection activeCell="B24" sqref="B24:D24"/>
    </sheetView>
  </sheetViews>
  <sheetFormatPr defaultColWidth="8.88671875" defaultRowHeight="14.4" zeroHeight="1"/>
  <cols>
    <col min="1" max="1" width="2.77734375" style="2" customWidth="1"/>
    <col min="2" max="2" width="10.77734375" style="2" customWidth="1"/>
    <col min="3" max="3" width="2.77734375" style="2" customWidth="1"/>
    <col min="4" max="4" width="8.77734375" style="2" customWidth="1"/>
    <col min="5" max="5" width="2.77734375" style="2" customWidth="1"/>
    <col min="6" max="6" width="2.77734375" style="1" customWidth="1"/>
    <col min="7" max="8" width="11.6640625" style="1" customWidth="1"/>
    <col min="9" max="9" width="2.77734375" style="1" customWidth="1"/>
    <col min="10" max="11" width="11.6640625" style="1" customWidth="1"/>
    <col min="12" max="12" width="2.77734375" style="1" customWidth="1"/>
    <col min="13" max="13" width="10.6640625" style="1" customWidth="1"/>
    <col min="14" max="14" width="2.77734375" style="1" customWidth="1"/>
    <col min="15" max="15" width="10.6640625" style="1" customWidth="1"/>
    <col min="16" max="16" width="2.77734375" style="1" customWidth="1"/>
    <col min="17" max="18" width="11.6640625" style="1" customWidth="1"/>
    <col min="19" max="19" width="2.77734375" style="1" customWidth="1"/>
    <col min="20" max="16364" width="8.88671875" style="1"/>
    <col min="16365" max="16384" width="13.6640625" style="1" customWidth="1"/>
  </cols>
  <sheetData>
    <row r="1" spans="1:5" ht="14.4" customHeight="1">
      <c r="A1" s="22"/>
      <c r="B1" s="22"/>
      <c r="C1" s="22"/>
      <c r="D1" s="22"/>
      <c r="E1" s="22"/>
    </row>
    <row r="2" spans="1:5" ht="14.4" customHeight="1">
      <c r="A2" s="22"/>
      <c r="B2" s="29" t="s">
        <v>13</v>
      </c>
      <c r="C2" s="29"/>
      <c r="D2" s="29"/>
      <c r="E2" s="22"/>
    </row>
    <row r="3" spans="1:5" ht="14.4" customHeight="1">
      <c r="A3" s="22"/>
      <c r="B3" s="29"/>
      <c r="C3" s="29"/>
      <c r="D3" s="29"/>
      <c r="E3" s="22"/>
    </row>
    <row r="4" spans="1:5" ht="14.4" customHeight="1">
      <c r="A4" s="22"/>
      <c r="B4" s="29"/>
      <c r="C4" s="29"/>
      <c r="D4" s="29"/>
      <c r="E4" s="22"/>
    </row>
    <row r="5" spans="1:5" ht="14.4" customHeight="1">
      <c r="A5" s="22"/>
      <c r="B5" s="32"/>
      <c r="C5" s="32"/>
      <c r="D5" s="32"/>
      <c r="E5" s="22"/>
    </row>
    <row r="6" spans="1:5" ht="14.4" customHeight="1">
      <c r="A6" s="22"/>
      <c r="B6" s="24" t="s">
        <v>141</v>
      </c>
      <c r="C6" s="23"/>
      <c r="D6" s="23">
        <v>2025</v>
      </c>
      <c r="E6" s="22"/>
    </row>
    <row r="7" spans="1:5" ht="14.4" customHeight="1">
      <c r="A7" s="22"/>
      <c r="B7" s="33"/>
      <c r="C7" s="33"/>
      <c r="D7" s="33"/>
      <c r="E7" s="22"/>
    </row>
    <row r="8" spans="1:5" ht="14.4" customHeight="1">
      <c r="A8" s="22"/>
      <c r="B8" s="33"/>
      <c r="C8" s="33"/>
      <c r="D8" s="33"/>
      <c r="E8" s="22"/>
    </row>
    <row r="9" spans="1:5" ht="14.4" customHeight="1">
      <c r="A9" s="22"/>
      <c r="B9" s="27" t="s">
        <v>130</v>
      </c>
      <c r="C9" s="27"/>
      <c r="D9" s="27"/>
      <c r="E9" s="22"/>
    </row>
    <row r="10" spans="1:5" ht="14.4" customHeight="1">
      <c r="A10" s="22"/>
      <c r="B10" s="27" t="s">
        <v>131</v>
      </c>
      <c r="C10" s="27"/>
      <c r="D10" s="27"/>
      <c r="E10" s="22"/>
    </row>
    <row r="11" spans="1:5" ht="14.4" customHeight="1">
      <c r="A11" s="22"/>
      <c r="B11" s="27" t="s">
        <v>132</v>
      </c>
      <c r="C11" s="27"/>
      <c r="D11" s="27"/>
      <c r="E11" s="22"/>
    </row>
    <row r="12" spans="1:5" ht="14.4" customHeight="1">
      <c r="A12" s="22"/>
      <c r="B12" s="27" t="s">
        <v>133</v>
      </c>
      <c r="C12" s="27"/>
      <c r="D12" s="27"/>
      <c r="E12" s="22"/>
    </row>
    <row r="13" spans="1:5" ht="14.4" customHeight="1">
      <c r="A13" s="22"/>
      <c r="B13" s="27" t="s">
        <v>134</v>
      </c>
      <c r="C13" s="27"/>
      <c r="D13" s="27"/>
      <c r="E13" s="22"/>
    </row>
    <row r="14" spans="1:5" ht="14.4" customHeight="1">
      <c r="A14" s="22"/>
      <c r="B14" s="27" t="s">
        <v>135</v>
      </c>
      <c r="C14" s="27"/>
      <c r="D14" s="27"/>
      <c r="E14" s="22"/>
    </row>
    <row r="15" spans="1:5" ht="14.4" customHeight="1">
      <c r="A15" s="22"/>
      <c r="B15" s="27" t="s">
        <v>136</v>
      </c>
      <c r="C15" s="28"/>
      <c r="D15" s="28"/>
      <c r="E15" s="22"/>
    </row>
    <row r="16" spans="1:5" ht="14.4" customHeight="1">
      <c r="A16" s="22"/>
      <c r="B16" s="27" t="s">
        <v>137</v>
      </c>
      <c r="C16" s="28"/>
      <c r="D16" s="28"/>
      <c r="E16" s="22"/>
    </row>
    <row r="17" spans="1:5" ht="14.4" customHeight="1">
      <c r="A17" s="22"/>
      <c r="B17" s="27" t="s">
        <v>138</v>
      </c>
      <c r="C17" s="28"/>
      <c r="D17" s="28"/>
      <c r="E17" s="22"/>
    </row>
    <row r="18" spans="1:5" ht="14.4" customHeight="1">
      <c r="A18" s="22"/>
      <c r="B18" s="27" t="s">
        <v>139</v>
      </c>
      <c r="C18" s="28"/>
      <c r="D18" s="28"/>
      <c r="E18" s="22"/>
    </row>
    <row r="19" spans="1:5" ht="14.4" customHeight="1">
      <c r="A19" s="22"/>
      <c r="B19" s="27" t="s">
        <v>140</v>
      </c>
      <c r="C19" s="28"/>
      <c r="D19" s="28"/>
      <c r="E19" s="22"/>
    </row>
    <row r="20" spans="1:5" ht="14.4" customHeight="1">
      <c r="A20" s="22"/>
      <c r="B20" s="27" t="s">
        <v>11</v>
      </c>
      <c r="C20" s="28"/>
      <c r="D20" s="28"/>
      <c r="E20" s="22"/>
    </row>
    <row r="21" spans="1:5" ht="14.4" customHeight="1">
      <c r="A21" s="22"/>
      <c r="B21" s="32"/>
      <c r="C21" s="32"/>
      <c r="D21" s="32"/>
      <c r="E21" s="22"/>
    </row>
    <row r="22" spans="1:5" ht="14.4" customHeight="1">
      <c r="A22" s="22"/>
      <c r="B22" s="32"/>
      <c r="C22" s="32"/>
      <c r="D22" s="32"/>
      <c r="E22" s="22"/>
    </row>
    <row r="23" spans="1:5">
      <c r="A23" s="22"/>
      <c r="B23" s="32"/>
      <c r="C23" s="32"/>
      <c r="D23" s="32"/>
      <c r="E23" s="22"/>
    </row>
    <row r="24" spans="1:5">
      <c r="A24" s="22"/>
      <c r="B24" s="32"/>
      <c r="C24" s="32"/>
      <c r="D24" s="32"/>
      <c r="E24" s="22"/>
    </row>
    <row r="25" spans="1:5">
      <c r="A25" s="22"/>
      <c r="B25" s="32"/>
      <c r="C25" s="32"/>
      <c r="D25" s="32"/>
      <c r="E25" s="22"/>
    </row>
    <row r="26" spans="1:5">
      <c r="A26" s="22"/>
      <c r="B26" s="22"/>
      <c r="C26" s="22"/>
      <c r="D26" s="22"/>
      <c r="E26" s="22"/>
    </row>
    <row r="27" spans="1:5">
      <c r="A27" s="22"/>
      <c r="B27" s="32"/>
      <c r="C27" s="32"/>
      <c r="D27" s="32"/>
      <c r="E27" s="22"/>
    </row>
    <row r="28" spans="1:5" ht="14.4" customHeight="1">
      <c r="A28" s="22"/>
      <c r="B28" s="32"/>
      <c r="C28" s="32"/>
      <c r="D28" s="32"/>
      <c r="E28" s="22"/>
    </row>
    <row r="29" spans="1:5">
      <c r="A29" s="22"/>
      <c r="B29" s="32"/>
      <c r="C29" s="32"/>
      <c r="D29" s="32"/>
      <c r="E29" s="22"/>
    </row>
    <row r="30" spans="1:5">
      <c r="A30" s="22"/>
      <c r="B30" s="32"/>
      <c r="C30" s="32"/>
      <c r="D30" s="32"/>
      <c r="E30" s="22"/>
    </row>
    <row r="31" spans="1:5">
      <c r="A31" s="22"/>
      <c r="B31" s="22"/>
      <c r="C31" s="22"/>
      <c r="D31" s="22"/>
      <c r="E31" s="22"/>
    </row>
  </sheetData>
  <mergeCells count="24">
    <mergeCell ref="B24:D24"/>
    <mergeCell ref="B22:D22"/>
    <mergeCell ref="B23:D23"/>
    <mergeCell ref="B21:D21"/>
    <mergeCell ref="B7:D8"/>
    <mergeCell ref="B30:D30"/>
    <mergeCell ref="B29:D29"/>
    <mergeCell ref="B28:D28"/>
    <mergeCell ref="B27:D27"/>
    <mergeCell ref="B25:D25"/>
    <mergeCell ref="B15:D15"/>
    <mergeCell ref="B2:D4"/>
    <mergeCell ref="B20:D20"/>
    <mergeCell ref="B19:D19"/>
    <mergeCell ref="B18:D18"/>
    <mergeCell ref="B17:D17"/>
    <mergeCell ref="B16:D16"/>
    <mergeCell ref="B14:D14"/>
    <mergeCell ref="B13:D13"/>
    <mergeCell ref="B12:D12"/>
    <mergeCell ref="B11:D11"/>
    <mergeCell ref="B10:D10"/>
    <mergeCell ref="B9:D9"/>
    <mergeCell ref="B5:D5"/>
  </mergeCells>
  <phoneticPr fontId="10" type="noConversion"/>
  <pageMargins left="0.511811024" right="0.511811024" top="0.78740157499999996" bottom="0.78740157499999996" header="0.31496062000000002" footer="0.31496062000000002"/>
  <pageSetup paperSize="9" orientation="landscape" r:id="rId1"/>
  <drawing r:id="rId2"/>
  <legacy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517EF-CF3C-4B4F-ADC4-6B808B2C3481}">
  <dimension ref="A1:G8"/>
  <sheetViews>
    <sheetView workbookViewId="0">
      <selection activeCell="A3" sqref="A3:G8"/>
    </sheetView>
  </sheetViews>
  <sheetFormatPr defaultRowHeight="14.4"/>
  <cols>
    <col min="1" max="1" width="9" bestFit="1" customWidth="1"/>
    <col min="2" max="2" width="17.33203125" bestFit="1" customWidth="1"/>
    <col min="3" max="3" width="9" bestFit="1" customWidth="1"/>
    <col min="4" max="4" width="11.5546875" bestFit="1" customWidth="1"/>
    <col min="5" max="5" width="22.109375" bestFit="1" customWidth="1"/>
    <col min="6" max="7" width="9" bestFit="1" customWidth="1"/>
  </cols>
  <sheetData>
    <row r="1" spans="1:7">
      <c r="A1" s="26" t="s">
        <v>142</v>
      </c>
    </row>
    <row r="3" spans="1:7">
      <c r="A3" t="s">
        <v>0</v>
      </c>
      <c r="B3" t="s">
        <v>112</v>
      </c>
      <c r="C3" t="s">
        <v>12</v>
      </c>
      <c r="D3" t="s">
        <v>2</v>
      </c>
      <c r="E3" t="s">
        <v>1</v>
      </c>
      <c r="F3" t="s">
        <v>3</v>
      </c>
      <c r="G3" t="s">
        <v>4</v>
      </c>
    </row>
    <row r="4" spans="1:7">
      <c r="A4">
        <v>1093</v>
      </c>
      <c r="B4" s="25">
        <v>45992</v>
      </c>
      <c r="C4" t="s">
        <v>113</v>
      </c>
      <c r="D4" t="s">
        <v>14</v>
      </c>
      <c r="E4" t="s">
        <v>74</v>
      </c>
      <c r="F4">
        <v>360.26</v>
      </c>
      <c r="G4" t="s">
        <v>114</v>
      </c>
    </row>
    <row r="5" spans="1:7">
      <c r="A5">
        <v>1092</v>
      </c>
      <c r="B5" s="25">
        <v>45992</v>
      </c>
      <c r="C5" t="s">
        <v>113</v>
      </c>
      <c r="D5" t="s">
        <v>9</v>
      </c>
      <c r="E5" t="s">
        <v>21</v>
      </c>
      <c r="F5">
        <v>1330.1</v>
      </c>
      <c r="G5" t="s">
        <v>114</v>
      </c>
    </row>
    <row r="6" spans="1:7">
      <c r="A6">
        <v>1091</v>
      </c>
      <c r="B6" s="25">
        <v>45992</v>
      </c>
      <c r="C6" t="s">
        <v>113</v>
      </c>
      <c r="D6" t="s">
        <v>9</v>
      </c>
      <c r="E6" t="s">
        <v>44</v>
      </c>
      <c r="F6">
        <v>1688.66</v>
      </c>
      <c r="G6" t="s">
        <v>114</v>
      </c>
    </row>
    <row r="7" spans="1:7">
      <c r="A7">
        <v>1090</v>
      </c>
      <c r="B7" s="25">
        <v>45992</v>
      </c>
      <c r="C7" t="s">
        <v>113</v>
      </c>
      <c r="D7" t="s">
        <v>14</v>
      </c>
      <c r="E7" t="s">
        <v>23</v>
      </c>
      <c r="F7">
        <v>7466.71</v>
      </c>
      <c r="G7" t="s">
        <v>114</v>
      </c>
    </row>
    <row r="8" spans="1:7">
      <c r="A8">
        <v>1923</v>
      </c>
      <c r="B8" s="25">
        <v>45992</v>
      </c>
      <c r="C8" t="s">
        <v>5</v>
      </c>
      <c r="D8" t="s">
        <v>75</v>
      </c>
      <c r="E8" t="s">
        <v>89</v>
      </c>
      <c r="F8">
        <v>2768.16</v>
      </c>
      <c r="G8" t="s">
        <v>114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D8B53-AF50-4834-8EDA-C38480DAFC91}">
  <sheetPr codeName="Planilha2">
    <pageSetUpPr fitToPage="1"/>
  </sheetPr>
  <dimension ref="A1:P2004"/>
  <sheetViews>
    <sheetView zoomScale="99" zoomScaleNormal="99" workbookViewId="0">
      <selection activeCell="F8" sqref="F8"/>
    </sheetView>
  </sheetViews>
  <sheetFormatPr defaultColWidth="8.88671875" defaultRowHeight="14.4"/>
  <cols>
    <col min="1" max="1" width="5" bestFit="1" customWidth="1"/>
    <col min="2" max="2" width="17.33203125" bestFit="1" customWidth="1"/>
    <col min="3" max="3" width="9.5546875" customWidth="1"/>
    <col min="4" max="5" width="20.77734375" customWidth="1"/>
    <col min="6" max="7" width="14.5546875" customWidth="1"/>
    <col min="8" max="8" width="15.88671875" customWidth="1"/>
    <col min="9" max="9" width="6.88671875" customWidth="1"/>
    <col min="10" max="10" width="14.88671875" bestFit="1" customWidth="1"/>
    <col min="11" max="15" width="15.77734375" customWidth="1"/>
  </cols>
  <sheetData>
    <row r="1" spans="1:16">
      <c r="A1" s="6" t="s">
        <v>0</v>
      </c>
      <c r="B1" s="6" t="s">
        <v>115</v>
      </c>
      <c r="C1" s="7" t="s">
        <v>12</v>
      </c>
      <c r="D1" s="7" t="s">
        <v>2</v>
      </c>
      <c r="E1" s="7" t="s">
        <v>1</v>
      </c>
      <c r="F1" s="7" t="s">
        <v>3</v>
      </c>
      <c r="G1" s="7" t="s">
        <v>4</v>
      </c>
      <c r="H1" s="5"/>
    </row>
    <row r="2" spans="1:16">
      <c r="A2" s="16"/>
      <c r="B2" s="19"/>
      <c r="C2" s="17"/>
      <c r="D2" s="15"/>
      <c r="E2" s="15"/>
      <c r="F2" s="8"/>
      <c r="G2" s="15"/>
    </row>
    <row r="4" spans="1:16">
      <c r="A4" t="s">
        <v>0</v>
      </c>
      <c r="B4" t="s">
        <v>112</v>
      </c>
      <c r="C4" t="s">
        <v>12</v>
      </c>
      <c r="D4" t="s">
        <v>2</v>
      </c>
      <c r="E4" t="s">
        <v>1</v>
      </c>
      <c r="F4" t="s">
        <v>3</v>
      </c>
      <c r="G4" t="s">
        <v>4</v>
      </c>
      <c r="H4" t="s">
        <v>143</v>
      </c>
      <c r="N4" s="18"/>
      <c r="O4" s="18"/>
      <c r="P4" s="18"/>
    </row>
    <row r="5" spans="1:16">
      <c r="A5" s="14">
        <v>0</v>
      </c>
      <c r="B5" s="9">
        <v>45658</v>
      </c>
      <c r="C5" s="10" t="s">
        <v>113</v>
      </c>
      <c r="D5" s="10" t="s">
        <v>9</v>
      </c>
      <c r="E5" s="11" t="s">
        <v>67</v>
      </c>
      <c r="F5" s="5">
        <v>860</v>
      </c>
      <c r="G5" s="10" t="s">
        <v>114</v>
      </c>
      <c r="H5" s="12">
        <f t="shared" ref="H5:H68" si="0">IF(C5="Despesa", F5*-1, F5)</f>
        <v>-860</v>
      </c>
      <c r="N5" s="18"/>
      <c r="O5" s="18"/>
      <c r="P5" s="18"/>
    </row>
    <row r="6" spans="1:16">
      <c r="A6" s="14">
        <v>1</v>
      </c>
      <c r="B6" s="9">
        <v>45658</v>
      </c>
      <c r="C6" s="10" t="s">
        <v>113</v>
      </c>
      <c r="D6" s="10" t="s">
        <v>14</v>
      </c>
      <c r="E6" s="11" t="s">
        <v>34</v>
      </c>
      <c r="F6" s="5">
        <v>14274.46</v>
      </c>
      <c r="G6" s="13" t="s">
        <v>114</v>
      </c>
      <c r="H6" s="12">
        <f t="shared" si="0"/>
        <v>-14274.46</v>
      </c>
    </row>
    <row r="7" spans="1:16">
      <c r="A7" s="14">
        <v>2</v>
      </c>
      <c r="B7" s="9">
        <v>45659</v>
      </c>
      <c r="C7" s="10" t="s">
        <v>113</v>
      </c>
      <c r="D7" s="10" t="s">
        <v>15</v>
      </c>
      <c r="E7" s="11" t="s">
        <v>26</v>
      </c>
      <c r="F7" s="5">
        <v>6198.71</v>
      </c>
      <c r="G7" s="13" t="s">
        <v>114</v>
      </c>
      <c r="H7" s="12">
        <f t="shared" si="0"/>
        <v>-6198.71</v>
      </c>
    </row>
    <row r="8" spans="1:16">
      <c r="A8" s="14">
        <v>3</v>
      </c>
      <c r="B8" s="9">
        <v>45659</v>
      </c>
      <c r="C8" s="10" t="s">
        <v>113</v>
      </c>
      <c r="D8" s="10" t="s">
        <v>10</v>
      </c>
      <c r="E8" s="11" t="s">
        <v>59</v>
      </c>
      <c r="F8" s="5">
        <v>3159.65</v>
      </c>
      <c r="G8" s="13" t="s">
        <v>114</v>
      </c>
      <c r="H8" s="12">
        <f t="shared" si="0"/>
        <v>-3159.65</v>
      </c>
    </row>
    <row r="9" spans="1:16">
      <c r="A9" s="14">
        <v>4</v>
      </c>
      <c r="B9" s="9">
        <v>45659</v>
      </c>
      <c r="C9" s="10" t="s">
        <v>113</v>
      </c>
      <c r="D9" s="10" t="s">
        <v>10</v>
      </c>
      <c r="E9" s="11" t="s">
        <v>59</v>
      </c>
      <c r="F9" s="5">
        <v>4447.76</v>
      </c>
      <c r="G9" s="13" t="s">
        <v>114</v>
      </c>
      <c r="H9" s="12">
        <f t="shared" si="0"/>
        <v>-4447.76</v>
      </c>
    </row>
    <row r="10" spans="1:16">
      <c r="A10" s="14">
        <v>5</v>
      </c>
      <c r="B10" s="9">
        <v>45659</v>
      </c>
      <c r="C10" s="10" t="s">
        <v>113</v>
      </c>
      <c r="D10" s="10" t="s">
        <v>15</v>
      </c>
      <c r="E10" s="11" t="s">
        <v>61</v>
      </c>
      <c r="F10" s="5">
        <v>1178.04</v>
      </c>
      <c r="G10" s="13" t="s">
        <v>114</v>
      </c>
      <c r="H10" s="12">
        <f t="shared" si="0"/>
        <v>-1178.04</v>
      </c>
    </row>
    <row r="11" spans="1:16">
      <c r="A11" s="14">
        <v>6</v>
      </c>
      <c r="B11" s="9">
        <v>45659</v>
      </c>
      <c r="C11" s="10" t="s">
        <v>113</v>
      </c>
      <c r="D11" s="10" t="s">
        <v>15</v>
      </c>
      <c r="E11" s="11" t="s">
        <v>43</v>
      </c>
      <c r="F11" s="5">
        <v>979.44</v>
      </c>
      <c r="G11" s="13" t="s">
        <v>114</v>
      </c>
      <c r="H11" s="12">
        <f t="shared" si="0"/>
        <v>-979.44</v>
      </c>
    </row>
    <row r="12" spans="1:16">
      <c r="A12" s="14">
        <v>7</v>
      </c>
      <c r="B12" s="9">
        <v>45659</v>
      </c>
      <c r="C12" s="10" t="s">
        <v>113</v>
      </c>
      <c r="D12" s="10" t="s">
        <v>16</v>
      </c>
      <c r="E12" s="11" t="s">
        <v>63</v>
      </c>
      <c r="F12" s="5">
        <v>3664.96</v>
      </c>
      <c r="G12" s="13" t="s">
        <v>114</v>
      </c>
      <c r="H12" s="12">
        <f t="shared" si="0"/>
        <v>-3664.96</v>
      </c>
    </row>
    <row r="13" spans="1:16">
      <c r="A13" s="14">
        <v>8</v>
      </c>
      <c r="B13" s="9">
        <v>45659</v>
      </c>
      <c r="C13" s="10" t="s">
        <v>113</v>
      </c>
      <c r="D13" s="10" t="s">
        <v>16</v>
      </c>
      <c r="E13" s="11" t="s">
        <v>68</v>
      </c>
      <c r="F13" s="5">
        <v>4508.7700000000004</v>
      </c>
      <c r="G13" s="13" t="s">
        <v>114</v>
      </c>
      <c r="H13" s="12">
        <f t="shared" si="0"/>
        <v>-4508.7700000000004</v>
      </c>
    </row>
    <row r="14" spans="1:16">
      <c r="A14" s="14">
        <v>9</v>
      </c>
      <c r="B14" s="9">
        <v>45660</v>
      </c>
      <c r="C14" s="10" t="s">
        <v>113</v>
      </c>
      <c r="D14" s="10" t="s">
        <v>16</v>
      </c>
      <c r="E14" s="11" t="s">
        <v>39</v>
      </c>
      <c r="F14" s="5">
        <v>366.18</v>
      </c>
      <c r="G14" s="13" t="s">
        <v>114</v>
      </c>
      <c r="H14" s="12">
        <f t="shared" si="0"/>
        <v>-366.18</v>
      </c>
    </row>
    <row r="15" spans="1:16">
      <c r="A15" s="14">
        <v>10</v>
      </c>
      <c r="B15" s="9">
        <v>45660</v>
      </c>
      <c r="C15" s="10" t="s">
        <v>113</v>
      </c>
      <c r="D15" s="10" t="s">
        <v>16</v>
      </c>
      <c r="E15" s="11" t="s">
        <v>63</v>
      </c>
      <c r="F15" s="5">
        <v>4248.72</v>
      </c>
      <c r="G15" s="13" t="s">
        <v>114</v>
      </c>
      <c r="H15" s="12">
        <f t="shared" si="0"/>
        <v>-4248.72</v>
      </c>
    </row>
    <row r="16" spans="1:16">
      <c r="A16" s="14">
        <v>11</v>
      </c>
      <c r="B16" s="9">
        <v>45660</v>
      </c>
      <c r="C16" s="10" t="s">
        <v>113</v>
      </c>
      <c r="D16" s="10" t="s">
        <v>15</v>
      </c>
      <c r="E16" s="11" t="s">
        <v>37</v>
      </c>
      <c r="F16" s="5">
        <v>822.79</v>
      </c>
      <c r="G16" s="13" t="s">
        <v>114</v>
      </c>
      <c r="H16" s="12">
        <f t="shared" si="0"/>
        <v>-822.79</v>
      </c>
    </row>
    <row r="17" spans="1:8">
      <c r="A17" s="14">
        <v>12</v>
      </c>
      <c r="B17" s="9">
        <v>45660</v>
      </c>
      <c r="C17" s="10" t="s">
        <v>113</v>
      </c>
      <c r="D17" s="10" t="s">
        <v>15</v>
      </c>
      <c r="E17" s="11" t="s">
        <v>26</v>
      </c>
      <c r="F17" s="5">
        <v>2483.15</v>
      </c>
      <c r="G17" s="13" t="s">
        <v>114</v>
      </c>
      <c r="H17" s="12">
        <f t="shared" si="0"/>
        <v>-2483.15</v>
      </c>
    </row>
    <row r="18" spans="1:8">
      <c r="A18" s="14">
        <v>13</v>
      </c>
      <c r="B18" s="9">
        <v>45660</v>
      </c>
      <c r="C18" s="10" t="s">
        <v>113</v>
      </c>
      <c r="D18" s="10" t="s">
        <v>15</v>
      </c>
      <c r="E18" s="11" t="s">
        <v>61</v>
      </c>
      <c r="F18" s="5">
        <v>854.16</v>
      </c>
      <c r="G18" s="13" t="s">
        <v>114</v>
      </c>
      <c r="H18" s="12">
        <f t="shared" si="0"/>
        <v>-854.16</v>
      </c>
    </row>
    <row r="19" spans="1:8">
      <c r="A19" s="14">
        <v>14</v>
      </c>
      <c r="B19" s="9">
        <v>45662</v>
      </c>
      <c r="C19" s="10" t="s">
        <v>113</v>
      </c>
      <c r="D19" s="10" t="s">
        <v>16</v>
      </c>
      <c r="E19" s="11" t="s">
        <v>28</v>
      </c>
      <c r="F19" s="5">
        <v>3590.24</v>
      </c>
      <c r="G19" s="13" t="s">
        <v>114</v>
      </c>
      <c r="H19" s="12">
        <f t="shared" si="0"/>
        <v>-3590.24</v>
      </c>
    </row>
    <row r="20" spans="1:8">
      <c r="A20" s="14">
        <v>15</v>
      </c>
      <c r="B20" s="9">
        <v>45662</v>
      </c>
      <c r="C20" s="10" t="s">
        <v>113</v>
      </c>
      <c r="D20" s="10" t="s">
        <v>14</v>
      </c>
      <c r="E20" s="11" t="s">
        <v>64</v>
      </c>
      <c r="F20" s="5">
        <v>3472.91</v>
      </c>
      <c r="G20" s="13" t="s">
        <v>114</v>
      </c>
      <c r="H20" s="12">
        <f t="shared" si="0"/>
        <v>-3472.91</v>
      </c>
    </row>
    <row r="21" spans="1:8">
      <c r="A21" s="14">
        <v>16</v>
      </c>
      <c r="B21" s="9">
        <v>45663</v>
      </c>
      <c r="C21" s="10" t="s">
        <v>113</v>
      </c>
      <c r="D21" s="10" t="s">
        <v>14</v>
      </c>
      <c r="E21" s="11" t="s">
        <v>69</v>
      </c>
      <c r="F21" s="5">
        <v>2334.96</v>
      </c>
      <c r="G21" s="13" t="s">
        <v>114</v>
      </c>
      <c r="H21" s="12">
        <f t="shared" si="0"/>
        <v>-2334.96</v>
      </c>
    </row>
    <row r="22" spans="1:8">
      <c r="A22" s="14">
        <v>17</v>
      </c>
      <c r="B22" s="9">
        <v>45663</v>
      </c>
      <c r="C22" s="10" t="s">
        <v>113</v>
      </c>
      <c r="D22" s="10" t="s">
        <v>16</v>
      </c>
      <c r="E22" s="11" t="s">
        <v>73</v>
      </c>
      <c r="F22" s="5">
        <v>499.56</v>
      </c>
      <c r="G22" s="13" t="s">
        <v>114</v>
      </c>
      <c r="H22" s="12">
        <f t="shared" si="0"/>
        <v>-499.56</v>
      </c>
    </row>
    <row r="23" spans="1:8">
      <c r="A23" s="14">
        <v>18</v>
      </c>
      <c r="B23" s="9">
        <v>45664</v>
      </c>
      <c r="C23" s="10" t="s">
        <v>113</v>
      </c>
      <c r="D23" s="10" t="s">
        <v>15</v>
      </c>
      <c r="E23" s="11" t="s">
        <v>55</v>
      </c>
      <c r="F23" s="5">
        <v>2468.86</v>
      </c>
      <c r="G23" s="13" t="s">
        <v>114</v>
      </c>
      <c r="H23" s="12">
        <f t="shared" si="0"/>
        <v>-2468.86</v>
      </c>
    </row>
    <row r="24" spans="1:8">
      <c r="A24" s="14">
        <v>19</v>
      </c>
      <c r="B24" s="9">
        <v>45665</v>
      </c>
      <c r="C24" s="10" t="s">
        <v>113</v>
      </c>
      <c r="D24" s="10" t="s">
        <v>14</v>
      </c>
      <c r="E24" s="11" t="s">
        <v>40</v>
      </c>
      <c r="F24" s="5">
        <v>3843.23</v>
      </c>
      <c r="G24" s="13" t="s">
        <v>114</v>
      </c>
      <c r="H24" s="12">
        <f t="shared" si="0"/>
        <v>-3843.23</v>
      </c>
    </row>
    <row r="25" spans="1:8">
      <c r="A25" s="14">
        <v>20</v>
      </c>
      <c r="B25" s="9">
        <v>45665</v>
      </c>
      <c r="C25" s="10" t="s">
        <v>113</v>
      </c>
      <c r="D25" s="10" t="s">
        <v>15</v>
      </c>
      <c r="E25" s="11" t="s">
        <v>7</v>
      </c>
      <c r="F25" s="5">
        <v>1090.08</v>
      </c>
      <c r="G25" s="13" t="s">
        <v>114</v>
      </c>
      <c r="H25" s="12">
        <f t="shared" si="0"/>
        <v>-1090.08</v>
      </c>
    </row>
    <row r="26" spans="1:8">
      <c r="A26" s="14">
        <v>21</v>
      </c>
      <c r="B26" s="9">
        <v>45665</v>
      </c>
      <c r="C26" s="10" t="s">
        <v>113</v>
      </c>
      <c r="D26" s="10" t="s">
        <v>15</v>
      </c>
      <c r="E26" s="11" t="s">
        <v>37</v>
      </c>
      <c r="F26" s="5">
        <v>418.77</v>
      </c>
      <c r="G26" s="13" t="s">
        <v>114</v>
      </c>
      <c r="H26" s="12">
        <f t="shared" si="0"/>
        <v>-418.77</v>
      </c>
    </row>
    <row r="27" spans="1:8">
      <c r="A27" s="14">
        <v>22</v>
      </c>
      <c r="B27" s="9">
        <v>45666</v>
      </c>
      <c r="C27" s="10" t="s">
        <v>113</v>
      </c>
      <c r="D27" s="10" t="s">
        <v>15</v>
      </c>
      <c r="E27" s="11" t="s">
        <v>55</v>
      </c>
      <c r="F27" s="5">
        <v>1786.15</v>
      </c>
      <c r="G27" s="13" t="s">
        <v>114</v>
      </c>
      <c r="H27" s="12">
        <f t="shared" si="0"/>
        <v>-1786.15</v>
      </c>
    </row>
    <row r="28" spans="1:8">
      <c r="A28" s="14">
        <v>23</v>
      </c>
      <c r="B28" s="9">
        <v>45666</v>
      </c>
      <c r="C28" s="10" t="s">
        <v>113</v>
      </c>
      <c r="D28" s="10" t="s">
        <v>10</v>
      </c>
      <c r="E28" s="11" t="s">
        <v>30</v>
      </c>
      <c r="F28" s="5">
        <v>2655.23</v>
      </c>
      <c r="G28" s="13" t="s">
        <v>114</v>
      </c>
      <c r="H28" s="12">
        <f t="shared" si="0"/>
        <v>-2655.23</v>
      </c>
    </row>
    <row r="29" spans="1:8">
      <c r="A29" s="14">
        <v>24</v>
      </c>
      <c r="B29" s="9">
        <v>45666</v>
      </c>
      <c r="C29" s="10" t="s">
        <v>113</v>
      </c>
      <c r="D29" s="10" t="s">
        <v>14</v>
      </c>
      <c r="E29" s="11" t="s">
        <v>46</v>
      </c>
      <c r="F29" s="5">
        <v>1855.77</v>
      </c>
      <c r="G29" s="13" t="s">
        <v>114</v>
      </c>
      <c r="H29" s="12">
        <f t="shared" si="0"/>
        <v>-1855.77</v>
      </c>
    </row>
    <row r="30" spans="1:8">
      <c r="A30" s="14">
        <v>25</v>
      </c>
      <c r="B30" s="9">
        <v>45666</v>
      </c>
      <c r="C30" s="10" t="s">
        <v>113</v>
      </c>
      <c r="D30" s="10" t="s">
        <v>14</v>
      </c>
      <c r="E30" s="11" t="s">
        <v>74</v>
      </c>
      <c r="F30" s="5">
        <v>1329.28</v>
      </c>
      <c r="G30" s="13" t="s">
        <v>114</v>
      </c>
      <c r="H30" s="12">
        <f t="shared" si="0"/>
        <v>-1329.28</v>
      </c>
    </row>
    <row r="31" spans="1:8">
      <c r="A31" s="14">
        <v>26</v>
      </c>
      <c r="B31" s="9">
        <v>45666</v>
      </c>
      <c r="C31" s="10" t="s">
        <v>113</v>
      </c>
      <c r="D31" s="10" t="s">
        <v>10</v>
      </c>
      <c r="E31" s="11" t="s">
        <v>59</v>
      </c>
      <c r="F31" s="5">
        <v>4297.7299999999996</v>
      </c>
      <c r="G31" s="13" t="s">
        <v>114</v>
      </c>
      <c r="H31" s="12">
        <f t="shared" si="0"/>
        <v>-4297.7299999999996</v>
      </c>
    </row>
    <row r="32" spans="1:8">
      <c r="A32" s="14">
        <v>27</v>
      </c>
      <c r="B32" s="9">
        <v>45666</v>
      </c>
      <c r="C32" s="10" t="s">
        <v>113</v>
      </c>
      <c r="D32" s="10" t="s">
        <v>15</v>
      </c>
      <c r="E32" s="11" t="s">
        <v>8</v>
      </c>
      <c r="F32" s="5">
        <v>3362.54</v>
      </c>
      <c r="G32" s="13" t="s">
        <v>114</v>
      </c>
      <c r="H32" s="12">
        <f t="shared" si="0"/>
        <v>-3362.54</v>
      </c>
    </row>
    <row r="33" spans="1:8">
      <c r="A33" s="14">
        <v>28</v>
      </c>
      <c r="B33" s="9">
        <v>45666</v>
      </c>
      <c r="C33" s="10" t="s">
        <v>113</v>
      </c>
      <c r="D33" s="10" t="s">
        <v>10</v>
      </c>
      <c r="E33" s="11" t="s">
        <v>19</v>
      </c>
      <c r="F33" s="5">
        <v>15664.43</v>
      </c>
      <c r="G33" s="13" t="s">
        <v>114</v>
      </c>
      <c r="H33" s="12">
        <f t="shared" si="0"/>
        <v>-15664.43</v>
      </c>
    </row>
    <row r="34" spans="1:8">
      <c r="A34" s="14">
        <v>29</v>
      </c>
      <c r="B34" s="9">
        <v>45667</v>
      </c>
      <c r="C34" s="10" t="s">
        <v>113</v>
      </c>
      <c r="D34" s="10" t="s">
        <v>14</v>
      </c>
      <c r="E34" s="11" t="s">
        <v>23</v>
      </c>
      <c r="F34" s="5">
        <v>3840.7</v>
      </c>
      <c r="G34" s="13" t="s">
        <v>114</v>
      </c>
      <c r="H34" s="12">
        <f t="shared" si="0"/>
        <v>-3840.7</v>
      </c>
    </row>
    <row r="35" spans="1:8">
      <c r="A35" s="14">
        <v>30</v>
      </c>
      <c r="B35" s="9">
        <v>45667</v>
      </c>
      <c r="C35" s="10" t="s">
        <v>113</v>
      </c>
      <c r="D35" s="10" t="s">
        <v>17</v>
      </c>
      <c r="E35" s="11" t="s">
        <v>36</v>
      </c>
      <c r="F35" s="5">
        <v>1833.46</v>
      </c>
      <c r="G35" s="13" t="s">
        <v>114</v>
      </c>
      <c r="H35" s="12">
        <f t="shared" si="0"/>
        <v>-1833.46</v>
      </c>
    </row>
    <row r="36" spans="1:8">
      <c r="A36" s="14">
        <v>31</v>
      </c>
      <c r="B36" s="9">
        <v>45667</v>
      </c>
      <c r="C36" s="10" t="s">
        <v>113</v>
      </c>
      <c r="D36" s="10" t="s">
        <v>14</v>
      </c>
      <c r="E36" s="11" t="s">
        <v>58</v>
      </c>
      <c r="F36" s="5">
        <v>909.87</v>
      </c>
      <c r="G36" s="13" t="s">
        <v>114</v>
      </c>
      <c r="H36" s="12">
        <f t="shared" si="0"/>
        <v>-909.87</v>
      </c>
    </row>
    <row r="37" spans="1:8">
      <c r="A37" s="14">
        <v>32</v>
      </c>
      <c r="B37" s="9">
        <v>45667</v>
      </c>
      <c r="C37" s="10" t="s">
        <v>113</v>
      </c>
      <c r="D37" s="10" t="s">
        <v>15</v>
      </c>
      <c r="E37" s="11" t="s">
        <v>61</v>
      </c>
      <c r="F37" s="5">
        <v>1062.58</v>
      </c>
      <c r="G37" s="13" t="s">
        <v>114</v>
      </c>
      <c r="H37" s="12">
        <f t="shared" si="0"/>
        <v>-1062.58</v>
      </c>
    </row>
    <row r="38" spans="1:8">
      <c r="A38" s="14">
        <v>33</v>
      </c>
      <c r="B38" s="9">
        <v>45668</v>
      </c>
      <c r="C38" s="10" t="s">
        <v>113</v>
      </c>
      <c r="D38" s="10" t="s">
        <v>15</v>
      </c>
      <c r="E38" s="11" t="s">
        <v>37</v>
      </c>
      <c r="F38" s="5">
        <v>584.58000000000004</v>
      </c>
      <c r="G38" s="13" t="s">
        <v>114</v>
      </c>
      <c r="H38" s="12">
        <f t="shared" si="0"/>
        <v>-584.58000000000004</v>
      </c>
    </row>
    <row r="39" spans="1:8">
      <c r="A39" s="14">
        <v>34</v>
      </c>
      <c r="B39" s="9">
        <v>45670</v>
      </c>
      <c r="C39" s="10" t="s">
        <v>113</v>
      </c>
      <c r="D39" s="10" t="s">
        <v>9</v>
      </c>
      <c r="E39" s="11" t="s">
        <v>38</v>
      </c>
      <c r="F39" s="5">
        <v>9991.4500000000007</v>
      </c>
      <c r="G39" s="13" t="s">
        <v>114</v>
      </c>
      <c r="H39" s="12">
        <f t="shared" si="0"/>
        <v>-9991.4500000000007</v>
      </c>
    </row>
    <row r="40" spans="1:8">
      <c r="A40" s="14">
        <v>35</v>
      </c>
      <c r="B40" s="9">
        <v>45670</v>
      </c>
      <c r="C40" s="10" t="s">
        <v>113</v>
      </c>
      <c r="D40" s="10" t="s">
        <v>14</v>
      </c>
      <c r="E40" s="11" t="s">
        <v>29</v>
      </c>
      <c r="F40" s="5">
        <v>1855.58</v>
      </c>
      <c r="G40" s="13" t="s">
        <v>114</v>
      </c>
      <c r="H40" s="12">
        <f t="shared" si="0"/>
        <v>-1855.58</v>
      </c>
    </row>
    <row r="41" spans="1:8">
      <c r="A41" s="14">
        <v>36</v>
      </c>
      <c r="B41" s="9">
        <v>45670</v>
      </c>
      <c r="C41" s="10" t="s">
        <v>113</v>
      </c>
      <c r="D41" s="10" t="s">
        <v>15</v>
      </c>
      <c r="E41" s="11" t="s">
        <v>43</v>
      </c>
      <c r="F41" s="5">
        <v>1440.64</v>
      </c>
      <c r="G41" s="13" t="s">
        <v>114</v>
      </c>
      <c r="H41" s="12">
        <f t="shared" si="0"/>
        <v>-1440.64</v>
      </c>
    </row>
    <row r="42" spans="1:8">
      <c r="A42" s="14">
        <v>37</v>
      </c>
      <c r="B42" s="9">
        <v>45671</v>
      </c>
      <c r="C42" s="10" t="s">
        <v>113</v>
      </c>
      <c r="D42" s="10" t="s">
        <v>17</v>
      </c>
      <c r="E42" s="11" t="s">
        <v>54</v>
      </c>
      <c r="F42" s="5">
        <v>2831.31</v>
      </c>
      <c r="G42" s="13" t="s">
        <v>114</v>
      </c>
      <c r="H42" s="12">
        <f t="shared" si="0"/>
        <v>-2831.31</v>
      </c>
    </row>
    <row r="43" spans="1:8">
      <c r="A43" s="14">
        <v>38</v>
      </c>
      <c r="B43" s="9">
        <v>45671</v>
      </c>
      <c r="C43" s="10" t="s">
        <v>113</v>
      </c>
      <c r="D43" s="10" t="s">
        <v>16</v>
      </c>
      <c r="E43" s="11" t="s">
        <v>22</v>
      </c>
      <c r="F43" s="5">
        <v>2542.7399999999998</v>
      </c>
      <c r="G43" s="13" t="s">
        <v>114</v>
      </c>
      <c r="H43" s="12">
        <f t="shared" si="0"/>
        <v>-2542.7399999999998</v>
      </c>
    </row>
    <row r="44" spans="1:8">
      <c r="A44" s="14">
        <v>39</v>
      </c>
      <c r="B44" s="9">
        <v>45671</v>
      </c>
      <c r="C44" s="10" t="s">
        <v>113</v>
      </c>
      <c r="D44" s="10" t="s">
        <v>9</v>
      </c>
      <c r="E44" s="11" t="s">
        <v>67</v>
      </c>
      <c r="F44" s="5">
        <v>2795.85</v>
      </c>
      <c r="G44" s="13" t="s">
        <v>114</v>
      </c>
      <c r="H44" s="12">
        <f t="shared" si="0"/>
        <v>-2795.85</v>
      </c>
    </row>
    <row r="45" spans="1:8">
      <c r="A45" s="14">
        <v>40</v>
      </c>
      <c r="B45" s="9">
        <v>45671</v>
      </c>
      <c r="C45" s="10" t="s">
        <v>113</v>
      </c>
      <c r="D45" s="10" t="s">
        <v>10</v>
      </c>
      <c r="E45" s="11" t="s">
        <v>30</v>
      </c>
      <c r="F45" s="5">
        <v>3671.49</v>
      </c>
      <c r="G45" s="13" t="s">
        <v>114</v>
      </c>
      <c r="H45" s="12">
        <f t="shared" si="0"/>
        <v>-3671.49</v>
      </c>
    </row>
    <row r="46" spans="1:8">
      <c r="A46" s="14">
        <v>41</v>
      </c>
      <c r="B46" s="9">
        <v>45673</v>
      </c>
      <c r="C46" s="10" t="s">
        <v>113</v>
      </c>
      <c r="D46" s="10" t="s">
        <v>15</v>
      </c>
      <c r="E46" s="11" t="s">
        <v>37</v>
      </c>
      <c r="F46" s="5">
        <v>639.04999999999995</v>
      </c>
      <c r="G46" s="13" t="s">
        <v>114</v>
      </c>
      <c r="H46" s="12">
        <f t="shared" si="0"/>
        <v>-639.04999999999995</v>
      </c>
    </row>
    <row r="47" spans="1:8">
      <c r="A47" s="14">
        <v>42</v>
      </c>
      <c r="B47" s="9">
        <v>45673</v>
      </c>
      <c r="C47" s="10" t="s">
        <v>113</v>
      </c>
      <c r="D47" s="10" t="s">
        <v>15</v>
      </c>
      <c r="E47" s="11" t="s">
        <v>8</v>
      </c>
      <c r="F47" s="5">
        <v>6895.29</v>
      </c>
      <c r="G47" s="13" t="s">
        <v>114</v>
      </c>
      <c r="H47" s="12">
        <f t="shared" si="0"/>
        <v>-6895.29</v>
      </c>
    </row>
    <row r="48" spans="1:8">
      <c r="A48" s="14">
        <v>43</v>
      </c>
      <c r="B48" s="9">
        <v>45674</v>
      </c>
      <c r="C48" s="10" t="s">
        <v>113</v>
      </c>
      <c r="D48" s="10" t="s">
        <v>16</v>
      </c>
      <c r="E48" s="11" t="s">
        <v>73</v>
      </c>
      <c r="F48" s="5">
        <v>1239.6400000000001</v>
      </c>
      <c r="G48" s="13" t="s">
        <v>114</v>
      </c>
      <c r="H48" s="12">
        <f t="shared" si="0"/>
        <v>-1239.6400000000001</v>
      </c>
    </row>
    <row r="49" spans="1:8">
      <c r="A49" s="14">
        <v>44</v>
      </c>
      <c r="B49" s="9">
        <v>45674</v>
      </c>
      <c r="C49" s="10" t="s">
        <v>113</v>
      </c>
      <c r="D49" s="10" t="s">
        <v>14</v>
      </c>
      <c r="E49" s="11" t="s">
        <v>64</v>
      </c>
      <c r="F49" s="5">
        <v>2839.83</v>
      </c>
      <c r="G49" s="13" t="s">
        <v>114</v>
      </c>
      <c r="H49" s="12">
        <f t="shared" si="0"/>
        <v>-2839.83</v>
      </c>
    </row>
    <row r="50" spans="1:8">
      <c r="A50" s="14">
        <v>45</v>
      </c>
      <c r="B50" s="9">
        <v>45674</v>
      </c>
      <c r="C50" s="10" t="s">
        <v>113</v>
      </c>
      <c r="D50" s="10" t="s">
        <v>14</v>
      </c>
      <c r="E50" s="11" t="s">
        <v>58</v>
      </c>
      <c r="F50" s="5">
        <v>344.26</v>
      </c>
      <c r="G50" s="13" t="s">
        <v>114</v>
      </c>
      <c r="H50" s="12">
        <f t="shared" si="0"/>
        <v>-344.26</v>
      </c>
    </row>
    <row r="51" spans="1:8">
      <c r="A51" s="14">
        <v>46</v>
      </c>
      <c r="B51" s="9">
        <v>45674</v>
      </c>
      <c r="C51" s="10" t="s">
        <v>113</v>
      </c>
      <c r="D51" s="10" t="s">
        <v>15</v>
      </c>
      <c r="E51" s="11" t="s">
        <v>61</v>
      </c>
      <c r="F51" s="5">
        <v>666.58</v>
      </c>
      <c r="G51" s="13" t="s">
        <v>114</v>
      </c>
      <c r="H51" s="12">
        <f t="shared" si="0"/>
        <v>-666.58</v>
      </c>
    </row>
    <row r="52" spans="1:8">
      <c r="A52" s="14">
        <v>47</v>
      </c>
      <c r="B52" s="9">
        <v>45674</v>
      </c>
      <c r="C52" s="10" t="s">
        <v>113</v>
      </c>
      <c r="D52" s="10" t="s">
        <v>17</v>
      </c>
      <c r="E52" s="11" t="s">
        <v>48</v>
      </c>
      <c r="F52" s="5">
        <v>1462.18</v>
      </c>
      <c r="G52" s="13" t="s">
        <v>114</v>
      </c>
      <c r="H52" s="12">
        <f t="shared" si="0"/>
        <v>-1462.18</v>
      </c>
    </row>
    <row r="53" spans="1:8">
      <c r="A53" s="14">
        <v>48</v>
      </c>
      <c r="B53" s="9">
        <v>45674</v>
      </c>
      <c r="C53" s="10" t="s">
        <v>113</v>
      </c>
      <c r="D53" s="10" t="s">
        <v>9</v>
      </c>
      <c r="E53" s="11" t="s">
        <v>72</v>
      </c>
      <c r="F53" s="5">
        <v>2119.15</v>
      </c>
      <c r="G53" s="13" t="s">
        <v>114</v>
      </c>
      <c r="H53" s="12">
        <f t="shared" si="0"/>
        <v>-2119.15</v>
      </c>
    </row>
    <row r="54" spans="1:8">
      <c r="A54" s="14">
        <v>49</v>
      </c>
      <c r="B54" s="9">
        <v>45675</v>
      </c>
      <c r="C54" s="10" t="s">
        <v>113</v>
      </c>
      <c r="D54" s="10" t="s">
        <v>17</v>
      </c>
      <c r="E54" s="11" t="s">
        <v>36</v>
      </c>
      <c r="F54" s="5">
        <v>1627.83</v>
      </c>
      <c r="G54" s="13" t="s">
        <v>114</v>
      </c>
      <c r="H54" s="12">
        <f t="shared" si="0"/>
        <v>-1627.83</v>
      </c>
    </row>
    <row r="55" spans="1:8">
      <c r="A55" s="14">
        <v>50</v>
      </c>
      <c r="B55" s="9">
        <v>45675</v>
      </c>
      <c r="C55" s="10" t="s">
        <v>113</v>
      </c>
      <c r="D55" s="10" t="s">
        <v>14</v>
      </c>
      <c r="E55" s="11" t="s">
        <v>23</v>
      </c>
      <c r="F55" s="5">
        <v>6402.92</v>
      </c>
      <c r="G55" s="13" t="s">
        <v>114</v>
      </c>
      <c r="H55" s="12">
        <f t="shared" si="0"/>
        <v>-6402.92</v>
      </c>
    </row>
    <row r="56" spans="1:8">
      <c r="A56" s="14">
        <v>51</v>
      </c>
      <c r="B56" s="9">
        <v>45677</v>
      </c>
      <c r="C56" s="10" t="s">
        <v>113</v>
      </c>
      <c r="D56" s="10" t="s">
        <v>16</v>
      </c>
      <c r="E56" s="11" t="s">
        <v>68</v>
      </c>
      <c r="F56" s="5">
        <v>8926.7199999999993</v>
      </c>
      <c r="G56" s="13" t="s">
        <v>114</v>
      </c>
      <c r="H56" s="12">
        <f t="shared" si="0"/>
        <v>-8926.7199999999993</v>
      </c>
    </row>
    <row r="57" spans="1:8">
      <c r="A57" s="14">
        <v>52</v>
      </c>
      <c r="B57" s="9">
        <v>45677</v>
      </c>
      <c r="C57" s="10" t="s">
        <v>113</v>
      </c>
      <c r="D57" s="10" t="s">
        <v>17</v>
      </c>
      <c r="E57" s="11" t="s">
        <v>54</v>
      </c>
      <c r="F57" s="5">
        <v>1782.29</v>
      </c>
      <c r="G57" s="13" t="s">
        <v>114</v>
      </c>
      <c r="H57" s="12">
        <f t="shared" si="0"/>
        <v>-1782.29</v>
      </c>
    </row>
    <row r="58" spans="1:8">
      <c r="A58" s="14">
        <v>53</v>
      </c>
      <c r="B58" s="9">
        <v>45677</v>
      </c>
      <c r="C58" s="10" t="s">
        <v>113</v>
      </c>
      <c r="D58" s="10" t="s">
        <v>10</v>
      </c>
      <c r="E58" s="11" t="s">
        <v>19</v>
      </c>
      <c r="F58" s="5">
        <v>15282.52</v>
      </c>
      <c r="G58" s="13" t="s">
        <v>114</v>
      </c>
      <c r="H58" s="12">
        <f t="shared" si="0"/>
        <v>-15282.52</v>
      </c>
    </row>
    <row r="59" spans="1:8">
      <c r="A59" s="14">
        <v>54</v>
      </c>
      <c r="B59" s="9">
        <v>45678</v>
      </c>
      <c r="C59" s="10" t="s">
        <v>113</v>
      </c>
      <c r="D59" s="10" t="s">
        <v>10</v>
      </c>
      <c r="E59" s="11" t="s">
        <v>24</v>
      </c>
      <c r="F59" s="5">
        <v>5739.81</v>
      </c>
      <c r="G59" s="13" t="s">
        <v>114</v>
      </c>
      <c r="H59" s="12">
        <f t="shared" si="0"/>
        <v>-5739.81</v>
      </c>
    </row>
    <row r="60" spans="1:8">
      <c r="A60" s="14">
        <v>55</v>
      </c>
      <c r="B60" s="9">
        <v>45678</v>
      </c>
      <c r="C60" s="10" t="s">
        <v>113</v>
      </c>
      <c r="D60" s="10" t="s">
        <v>14</v>
      </c>
      <c r="E60" s="11" t="s">
        <v>34</v>
      </c>
      <c r="F60" s="5">
        <v>5275.51</v>
      </c>
      <c r="G60" s="13" t="s">
        <v>114</v>
      </c>
      <c r="H60" s="12">
        <f t="shared" si="0"/>
        <v>-5275.51</v>
      </c>
    </row>
    <row r="61" spans="1:8">
      <c r="A61" s="14">
        <v>56</v>
      </c>
      <c r="B61" s="9">
        <v>45678</v>
      </c>
      <c r="C61" s="10" t="s">
        <v>113</v>
      </c>
      <c r="D61" s="10" t="s">
        <v>15</v>
      </c>
      <c r="E61" s="11" t="s">
        <v>66</v>
      </c>
      <c r="F61" s="5">
        <v>8329.9</v>
      </c>
      <c r="G61" s="13" t="s">
        <v>114</v>
      </c>
      <c r="H61" s="12">
        <f t="shared" si="0"/>
        <v>-8329.9</v>
      </c>
    </row>
    <row r="62" spans="1:8">
      <c r="A62" s="14">
        <v>57</v>
      </c>
      <c r="B62" s="9">
        <v>45678</v>
      </c>
      <c r="C62" s="10" t="s">
        <v>113</v>
      </c>
      <c r="D62" s="10" t="s">
        <v>15</v>
      </c>
      <c r="E62" s="11" t="s">
        <v>49</v>
      </c>
      <c r="F62" s="5">
        <v>1317.12</v>
      </c>
      <c r="G62" s="13" t="s">
        <v>114</v>
      </c>
      <c r="H62" s="12">
        <f t="shared" si="0"/>
        <v>-1317.12</v>
      </c>
    </row>
    <row r="63" spans="1:8">
      <c r="A63" s="14">
        <v>58</v>
      </c>
      <c r="B63" s="9">
        <v>45679</v>
      </c>
      <c r="C63" s="10" t="s">
        <v>113</v>
      </c>
      <c r="D63" s="10" t="s">
        <v>15</v>
      </c>
      <c r="E63" s="11" t="s">
        <v>7</v>
      </c>
      <c r="F63" s="5">
        <v>1707.02</v>
      </c>
      <c r="G63" s="13" t="s">
        <v>114</v>
      </c>
      <c r="H63" s="12">
        <f t="shared" si="0"/>
        <v>-1707.02</v>
      </c>
    </row>
    <row r="64" spans="1:8">
      <c r="A64" s="14">
        <v>59</v>
      </c>
      <c r="B64" s="9">
        <v>45679</v>
      </c>
      <c r="C64" s="10" t="s">
        <v>113</v>
      </c>
      <c r="D64" s="10" t="s">
        <v>14</v>
      </c>
      <c r="E64" s="11" t="s">
        <v>40</v>
      </c>
      <c r="F64" s="5">
        <v>5037.1099999999997</v>
      </c>
      <c r="G64" s="13" t="s">
        <v>114</v>
      </c>
      <c r="H64" s="12">
        <f t="shared" si="0"/>
        <v>-5037.1099999999997</v>
      </c>
    </row>
    <row r="65" spans="1:8">
      <c r="A65" s="14">
        <v>60</v>
      </c>
      <c r="B65" s="9">
        <v>45679</v>
      </c>
      <c r="C65" s="10" t="s">
        <v>113</v>
      </c>
      <c r="D65" s="10" t="s">
        <v>9</v>
      </c>
      <c r="E65" s="11" t="s">
        <v>32</v>
      </c>
      <c r="F65" s="5">
        <v>744.5</v>
      </c>
      <c r="G65" s="13" t="s">
        <v>114</v>
      </c>
      <c r="H65" s="12">
        <f t="shared" si="0"/>
        <v>-744.5</v>
      </c>
    </row>
    <row r="66" spans="1:8">
      <c r="A66" s="14">
        <v>61</v>
      </c>
      <c r="B66" s="9">
        <v>45679</v>
      </c>
      <c r="C66" s="10" t="s">
        <v>113</v>
      </c>
      <c r="D66" s="10" t="s">
        <v>9</v>
      </c>
      <c r="E66" s="11" t="s">
        <v>50</v>
      </c>
      <c r="F66" s="5">
        <v>773.34</v>
      </c>
      <c r="G66" s="13" t="s">
        <v>114</v>
      </c>
      <c r="H66" s="12">
        <f t="shared" si="0"/>
        <v>-773.34</v>
      </c>
    </row>
    <row r="67" spans="1:8">
      <c r="A67" s="14">
        <v>62</v>
      </c>
      <c r="B67" s="9">
        <v>45680</v>
      </c>
      <c r="C67" s="10" t="s">
        <v>113</v>
      </c>
      <c r="D67" s="10" t="s">
        <v>9</v>
      </c>
      <c r="E67" s="11" t="s">
        <v>72</v>
      </c>
      <c r="F67" s="5">
        <v>3776.61</v>
      </c>
      <c r="G67" s="13" t="s">
        <v>114</v>
      </c>
      <c r="H67" s="12">
        <f t="shared" si="0"/>
        <v>-3776.61</v>
      </c>
    </row>
    <row r="68" spans="1:8">
      <c r="A68" s="14">
        <v>63</v>
      </c>
      <c r="B68" s="9">
        <v>45680</v>
      </c>
      <c r="C68" s="10" t="s">
        <v>113</v>
      </c>
      <c r="D68" s="10" t="s">
        <v>10</v>
      </c>
      <c r="E68" s="11" t="s">
        <v>19</v>
      </c>
      <c r="F68" s="5">
        <v>20090.07</v>
      </c>
      <c r="G68" s="13" t="s">
        <v>114</v>
      </c>
      <c r="H68" s="12">
        <f t="shared" si="0"/>
        <v>-20090.07</v>
      </c>
    </row>
    <row r="69" spans="1:8">
      <c r="A69" s="14">
        <v>64</v>
      </c>
      <c r="B69" s="9">
        <v>45681</v>
      </c>
      <c r="C69" s="10" t="s">
        <v>113</v>
      </c>
      <c r="D69" s="10" t="s">
        <v>9</v>
      </c>
      <c r="E69" s="11" t="s">
        <v>27</v>
      </c>
      <c r="F69" s="5">
        <v>1239.01</v>
      </c>
      <c r="G69" s="13" t="s">
        <v>114</v>
      </c>
      <c r="H69" s="12">
        <f t="shared" ref="H69:H132" si="1">IF(C69="Despesa", F69*-1, F69)</f>
        <v>-1239.01</v>
      </c>
    </row>
    <row r="70" spans="1:8">
      <c r="A70" s="14">
        <v>65</v>
      </c>
      <c r="B70" s="9">
        <v>45681</v>
      </c>
      <c r="C70" s="10" t="s">
        <v>113</v>
      </c>
      <c r="D70" s="10" t="s">
        <v>17</v>
      </c>
      <c r="E70" s="11" t="s">
        <v>25</v>
      </c>
      <c r="F70" s="5">
        <v>4368.1499999999996</v>
      </c>
      <c r="G70" s="13" t="s">
        <v>114</v>
      </c>
      <c r="H70" s="12">
        <f t="shared" si="1"/>
        <v>-4368.1499999999996</v>
      </c>
    </row>
    <row r="71" spans="1:8">
      <c r="A71" s="14">
        <v>66</v>
      </c>
      <c r="B71" s="9">
        <v>45681</v>
      </c>
      <c r="C71" s="10" t="s">
        <v>113</v>
      </c>
      <c r="D71" s="10" t="s">
        <v>15</v>
      </c>
      <c r="E71" s="11" t="s">
        <v>49</v>
      </c>
      <c r="F71" s="5">
        <v>2511.67</v>
      </c>
      <c r="G71" s="13" t="s">
        <v>114</v>
      </c>
      <c r="H71" s="12">
        <f t="shared" si="1"/>
        <v>-2511.67</v>
      </c>
    </row>
    <row r="72" spans="1:8">
      <c r="A72" s="14">
        <v>67</v>
      </c>
      <c r="B72" s="9">
        <v>45682</v>
      </c>
      <c r="C72" s="10" t="s">
        <v>113</v>
      </c>
      <c r="D72" s="10" t="s">
        <v>14</v>
      </c>
      <c r="E72" s="11" t="s">
        <v>69</v>
      </c>
      <c r="F72" s="5">
        <v>5276.07</v>
      </c>
      <c r="G72" s="13" t="s">
        <v>114</v>
      </c>
      <c r="H72" s="12">
        <f t="shared" si="1"/>
        <v>-5276.07</v>
      </c>
    </row>
    <row r="73" spans="1:8">
      <c r="A73" s="14">
        <v>68</v>
      </c>
      <c r="B73" s="9">
        <v>45684</v>
      </c>
      <c r="C73" s="10" t="s">
        <v>113</v>
      </c>
      <c r="D73" s="10" t="s">
        <v>15</v>
      </c>
      <c r="E73" s="11" t="s">
        <v>43</v>
      </c>
      <c r="F73" s="5">
        <v>2200.7600000000002</v>
      </c>
      <c r="G73" s="13" t="s">
        <v>114</v>
      </c>
      <c r="H73" s="12">
        <f t="shared" si="1"/>
        <v>-2200.7600000000002</v>
      </c>
    </row>
    <row r="74" spans="1:8">
      <c r="A74" s="14">
        <v>69</v>
      </c>
      <c r="B74" s="9">
        <v>45685</v>
      </c>
      <c r="C74" s="10" t="s">
        <v>113</v>
      </c>
      <c r="D74" s="10" t="s">
        <v>14</v>
      </c>
      <c r="E74" s="11" t="s">
        <v>23</v>
      </c>
      <c r="F74" s="5">
        <v>6831.32</v>
      </c>
      <c r="G74" s="13" t="s">
        <v>114</v>
      </c>
      <c r="H74" s="12">
        <f t="shared" si="1"/>
        <v>-6831.32</v>
      </c>
    </row>
    <row r="75" spans="1:8">
      <c r="A75" s="14">
        <v>70</v>
      </c>
      <c r="B75" s="9">
        <v>45685</v>
      </c>
      <c r="C75" s="10" t="s">
        <v>113</v>
      </c>
      <c r="D75" s="10" t="s">
        <v>14</v>
      </c>
      <c r="E75" s="11" t="s">
        <v>40</v>
      </c>
      <c r="F75" s="5">
        <v>1235.6199999999999</v>
      </c>
      <c r="G75" s="13" t="s">
        <v>114</v>
      </c>
      <c r="H75" s="12">
        <f t="shared" si="1"/>
        <v>-1235.6199999999999</v>
      </c>
    </row>
    <row r="76" spans="1:8">
      <c r="A76" s="14">
        <v>71</v>
      </c>
      <c r="B76" s="9">
        <v>45685</v>
      </c>
      <c r="C76" s="10" t="s">
        <v>113</v>
      </c>
      <c r="D76" s="10" t="s">
        <v>16</v>
      </c>
      <c r="E76" s="11" t="s">
        <v>73</v>
      </c>
      <c r="F76" s="5">
        <v>1024.58</v>
      </c>
      <c r="G76" s="13" t="s">
        <v>114</v>
      </c>
      <c r="H76" s="12">
        <f t="shared" si="1"/>
        <v>-1024.58</v>
      </c>
    </row>
    <row r="77" spans="1:8">
      <c r="A77" s="14">
        <v>72</v>
      </c>
      <c r="B77" s="9">
        <v>45685</v>
      </c>
      <c r="C77" s="10" t="s">
        <v>113</v>
      </c>
      <c r="D77" s="10" t="s">
        <v>15</v>
      </c>
      <c r="E77" s="11" t="s">
        <v>55</v>
      </c>
      <c r="F77" s="5">
        <v>1182.77</v>
      </c>
      <c r="G77" s="13" t="s">
        <v>114</v>
      </c>
      <c r="H77" s="12">
        <f t="shared" si="1"/>
        <v>-1182.77</v>
      </c>
    </row>
    <row r="78" spans="1:8">
      <c r="A78" s="14">
        <v>73</v>
      </c>
      <c r="B78" s="9">
        <v>45685</v>
      </c>
      <c r="C78" s="10" t="s">
        <v>113</v>
      </c>
      <c r="D78" s="10" t="s">
        <v>10</v>
      </c>
      <c r="E78" s="11" t="s">
        <v>70</v>
      </c>
      <c r="F78" s="5">
        <v>2653.85</v>
      </c>
      <c r="G78" s="13" t="s">
        <v>114</v>
      </c>
      <c r="H78" s="12">
        <f t="shared" si="1"/>
        <v>-2653.85</v>
      </c>
    </row>
    <row r="79" spans="1:8">
      <c r="A79" s="14">
        <v>74</v>
      </c>
      <c r="B79" s="9">
        <v>45685</v>
      </c>
      <c r="C79" s="10" t="s">
        <v>113</v>
      </c>
      <c r="D79" s="10" t="s">
        <v>9</v>
      </c>
      <c r="E79" s="11" t="s">
        <v>56</v>
      </c>
      <c r="F79" s="5">
        <v>4662.72</v>
      </c>
      <c r="G79" s="13" t="s">
        <v>114</v>
      </c>
      <c r="H79" s="12">
        <f t="shared" si="1"/>
        <v>-4662.72</v>
      </c>
    </row>
    <row r="80" spans="1:8">
      <c r="A80" s="14">
        <v>75</v>
      </c>
      <c r="B80" s="9">
        <v>45685</v>
      </c>
      <c r="C80" s="10" t="s">
        <v>113</v>
      </c>
      <c r="D80" s="10" t="s">
        <v>17</v>
      </c>
      <c r="E80" s="11" t="s">
        <v>42</v>
      </c>
      <c r="F80" s="5">
        <v>245.16</v>
      </c>
      <c r="G80" s="13" t="s">
        <v>114</v>
      </c>
      <c r="H80" s="12">
        <f t="shared" si="1"/>
        <v>-245.16</v>
      </c>
    </row>
    <row r="81" spans="1:8">
      <c r="A81" s="14">
        <v>76</v>
      </c>
      <c r="B81" s="9">
        <v>45685</v>
      </c>
      <c r="C81" s="10" t="s">
        <v>113</v>
      </c>
      <c r="D81" s="10" t="s">
        <v>10</v>
      </c>
      <c r="E81" s="11" t="s">
        <v>65</v>
      </c>
      <c r="F81" s="5">
        <v>3105.16</v>
      </c>
      <c r="G81" s="13" t="s">
        <v>114</v>
      </c>
      <c r="H81" s="12">
        <f t="shared" si="1"/>
        <v>-3105.16</v>
      </c>
    </row>
    <row r="82" spans="1:8">
      <c r="A82" s="14">
        <v>77</v>
      </c>
      <c r="B82" s="9">
        <v>45686</v>
      </c>
      <c r="C82" s="10" t="s">
        <v>113</v>
      </c>
      <c r="D82" s="10" t="s">
        <v>14</v>
      </c>
      <c r="E82" s="11" t="s">
        <v>34</v>
      </c>
      <c r="F82" s="5">
        <v>7101.85</v>
      </c>
      <c r="G82" s="13" t="s">
        <v>114</v>
      </c>
      <c r="H82" s="12">
        <f t="shared" si="1"/>
        <v>-7101.85</v>
      </c>
    </row>
    <row r="83" spans="1:8">
      <c r="A83" s="14">
        <v>78</v>
      </c>
      <c r="B83" s="9">
        <v>45686</v>
      </c>
      <c r="C83" s="10" t="s">
        <v>113</v>
      </c>
      <c r="D83" s="10" t="s">
        <v>14</v>
      </c>
      <c r="E83" s="11" t="s">
        <v>52</v>
      </c>
      <c r="F83" s="5">
        <v>1998.08</v>
      </c>
      <c r="G83" s="13" t="s">
        <v>114</v>
      </c>
      <c r="H83" s="12">
        <f t="shared" si="1"/>
        <v>-1998.08</v>
      </c>
    </row>
    <row r="84" spans="1:8">
      <c r="A84" s="14">
        <v>79</v>
      </c>
      <c r="B84" s="9">
        <v>45687</v>
      </c>
      <c r="C84" s="10" t="s">
        <v>113</v>
      </c>
      <c r="D84" s="10" t="s">
        <v>10</v>
      </c>
      <c r="E84" s="11" t="s">
        <v>65</v>
      </c>
      <c r="F84" s="5">
        <v>4071.24</v>
      </c>
      <c r="G84" s="13" t="s">
        <v>114</v>
      </c>
      <c r="H84" s="12">
        <f t="shared" si="1"/>
        <v>-4071.24</v>
      </c>
    </row>
    <row r="85" spans="1:8">
      <c r="A85" s="14">
        <v>80</v>
      </c>
      <c r="B85" s="9">
        <v>45687</v>
      </c>
      <c r="C85" s="10" t="s">
        <v>113</v>
      </c>
      <c r="D85" s="10" t="s">
        <v>10</v>
      </c>
      <c r="E85" s="11" t="s">
        <v>47</v>
      </c>
      <c r="F85" s="5">
        <v>17063.61</v>
      </c>
      <c r="G85" s="13" t="s">
        <v>114</v>
      </c>
      <c r="H85" s="12">
        <f t="shared" si="1"/>
        <v>-17063.61</v>
      </c>
    </row>
    <row r="86" spans="1:8">
      <c r="A86" s="14">
        <v>81</v>
      </c>
      <c r="B86" s="9">
        <v>45687</v>
      </c>
      <c r="C86" s="10" t="s">
        <v>113</v>
      </c>
      <c r="D86" s="10" t="s">
        <v>16</v>
      </c>
      <c r="E86" s="11" t="s">
        <v>63</v>
      </c>
      <c r="F86" s="5">
        <v>6073.91</v>
      </c>
      <c r="G86" s="13" t="s">
        <v>114</v>
      </c>
      <c r="H86" s="12">
        <f t="shared" si="1"/>
        <v>-6073.91</v>
      </c>
    </row>
    <row r="87" spans="1:8">
      <c r="A87" s="14">
        <v>82</v>
      </c>
      <c r="B87" s="9">
        <v>45687</v>
      </c>
      <c r="C87" s="10" t="s">
        <v>113</v>
      </c>
      <c r="D87" s="10" t="s">
        <v>10</v>
      </c>
      <c r="E87" s="11" t="s">
        <v>59</v>
      </c>
      <c r="F87" s="5">
        <v>2714.44</v>
      </c>
      <c r="G87" s="13" t="s">
        <v>114</v>
      </c>
      <c r="H87" s="12">
        <f t="shared" si="1"/>
        <v>-2714.44</v>
      </c>
    </row>
    <row r="88" spans="1:8">
      <c r="A88" s="14">
        <v>83</v>
      </c>
      <c r="B88" s="9">
        <v>45687</v>
      </c>
      <c r="C88" s="10" t="s">
        <v>113</v>
      </c>
      <c r="D88" s="10" t="s">
        <v>9</v>
      </c>
      <c r="E88" s="11" t="s">
        <v>32</v>
      </c>
      <c r="F88" s="5">
        <v>846.88</v>
      </c>
      <c r="G88" s="13" t="s">
        <v>114</v>
      </c>
      <c r="H88" s="12">
        <f t="shared" si="1"/>
        <v>-846.88</v>
      </c>
    </row>
    <row r="89" spans="1:8">
      <c r="A89" s="14">
        <v>84</v>
      </c>
      <c r="B89" s="9">
        <v>45687</v>
      </c>
      <c r="C89" s="10" t="s">
        <v>113</v>
      </c>
      <c r="D89" s="10" t="s">
        <v>10</v>
      </c>
      <c r="E89" s="11" t="s">
        <v>65</v>
      </c>
      <c r="F89" s="5">
        <v>3220.19</v>
      </c>
      <c r="G89" s="13" t="s">
        <v>114</v>
      </c>
      <c r="H89" s="12">
        <f t="shared" si="1"/>
        <v>-3220.19</v>
      </c>
    </row>
    <row r="90" spans="1:8">
      <c r="A90" s="14">
        <v>85</v>
      </c>
      <c r="B90" s="9">
        <v>45687</v>
      </c>
      <c r="C90" s="10" t="s">
        <v>113</v>
      </c>
      <c r="D90" s="10" t="s">
        <v>9</v>
      </c>
      <c r="E90" s="11" t="s">
        <v>62</v>
      </c>
      <c r="F90" s="5">
        <v>3808.86</v>
      </c>
      <c r="G90" s="13" t="s">
        <v>114</v>
      </c>
      <c r="H90" s="12">
        <f t="shared" si="1"/>
        <v>-3808.86</v>
      </c>
    </row>
    <row r="91" spans="1:8">
      <c r="A91" s="14">
        <v>86</v>
      </c>
      <c r="B91" s="9">
        <v>45688</v>
      </c>
      <c r="C91" s="10" t="s">
        <v>113</v>
      </c>
      <c r="D91" s="10" t="s">
        <v>16</v>
      </c>
      <c r="E91" s="11" t="s">
        <v>22</v>
      </c>
      <c r="F91" s="5">
        <v>1831.42</v>
      </c>
      <c r="G91" s="13" t="s">
        <v>114</v>
      </c>
      <c r="H91" s="12">
        <f t="shared" si="1"/>
        <v>-1831.42</v>
      </c>
    </row>
    <row r="92" spans="1:8">
      <c r="A92" s="14">
        <v>87</v>
      </c>
      <c r="B92" s="9">
        <v>45690</v>
      </c>
      <c r="C92" s="10" t="s">
        <v>113</v>
      </c>
      <c r="D92" s="10" t="s">
        <v>15</v>
      </c>
      <c r="E92" s="11" t="s">
        <v>71</v>
      </c>
      <c r="F92" s="5">
        <v>1532.22</v>
      </c>
      <c r="G92" s="13" t="s">
        <v>114</v>
      </c>
      <c r="H92" s="12">
        <f t="shared" si="1"/>
        <v>-1532.22</v>
      </c>
    </row>
    <row r="93" spans="1:8">
      <c r="A93" s="14">
        <v>88</v>
      </c>
      <c r="B93" s="9">
        <v>45691</v>
      </c>
      <c r="C93" s="10" t="s">
        <v>113</v>
      </c>
      <c r="D93" s="10" t="s">
        <v>15</v>
      </c>
      <c r="E93" s="11" t="s">
        <v>8</v>
      </c>
      <c r="F93" s="5">
        <v>6336.82</v>
      </c>
      <c r="G93" s="13" t="s">
        <v>114</v>
      </c>
      <c r="H93" s="12">
        <f t="shared" si="1"/>
        <v>-6336.82</v>
      </c>
    </row>
    <row r="94" spans="1:8">
      <c r="A94" s="14">
        <v>89</v>
      </c>
      <c r="B94" s="9">
        <v>45691</v>
      </c>
      <c r="C94" s="10" t="s">
        <v>113</v>
      </c>
      <c r="D94" s="10" t="s">
        <v>10</v>
      </c>
      <c r="E94" s="11" t="s">
        <v>65</v>
      </c>
      <c r="F94" s="5">
        <v>4129.58</v>
      </c>
      <c r="G94" s="13" t="s">
        <v>114</v>
      </c>
      <c r="H94" s="12">
        <f t="shared" si="1"/>
        <v>-4129.58</v>
      </c>
    </row>
    <row r="95" spans="1:8">
      <c r="A95" s="14">
        <v>90</v>
      </c>
      <c r="B95" s="9">
        <v>45691</v>
      </c>
      <c r="C95" s="10" t="s">
        <v>113</v>
      </c>
      <c r="D95" s="10" t="s">
        <v>15</v>
      </c>
      <c r="E95" s="11" t="s">
        <v>55</v>
      </c>
      <c r="F95" s="5">
        <v>2106.5100000000002</v>
      </c>
      <c r="G95" s="13" t="s">
        <v>114</v>
      </c>
      <c r="H95" s="12">
        <f t="shared" si="1"/>
        <v>-2106.5100000000002</v>
      </c>
    </row>
    <row r="96" spans="1:8">
      <c r="A96" s="14">
        <v>91</v>
      </c>
      <c r="B96" s="9">
        <v>45691</v>
      </c>
      <c r="C96" s="10" t="s">
        <v>113</v>
      </c>
      <c r="D96" s="10" t="s">
        <v>16</v>
      </c>
      <c r="E96" s="11" t="s">
        <v>39</v>
      </c>
      <c r="F96" s="5">
        <v>415.67</v>
      </c>
      <c r="G96" s="13" t="s">
        <v>114</v>
      </c>
      <c r="H96" s="12">
        <f t="shared" si="1"/>
        <v>-415.67</v>
      </c>
    </row>
    <row r="97" spans="1:8">
      <c r="A97" s="14">
        <v>92</v>
      </c>
      <c r="B97" s="9">
        <v>45691</v>
      </c>
      <c r="C97" s="10" t="s">
        <v>113</v>
      </c>
      <c r="D97" s="10" t="s">
        <v>15</v>
      </c>
      <c r="E97" s="11" t="s">
        <v>7</v>
      </c>
      <c r="F97" s="5">
        <v>1168.08</v>
      </c>
      <c r="G97" s="13" t="s">
        <v>114</v>
      </c>
      <c r="H97" s="12">
        <f t="shared" si="1"/>
        <v>-1168.08</v>
      </c>
    </row>
    <row r="98" spans="1:8">
      <c r="A98" s="14">
        <v>93</v>
      </c>
      <c r="B98" s="9">
        <v>45691</v>
      </c>
      <c r="C98" s="10" t="s">
        <v>113</v>
      </c>
      <c r="D98" s="10" t="s">
        <v>10</v>
      </c>
      <c r="E98" s="11" t="s">
        <v>30</v>
      </c>
      <c r="F98" s="5">
        <v>4275.58</v>
      </c>
      <c r="G98" s="13" t="s">
        <v>114</v>
      </c>
      <c r="H98" s="12">
        <f t="shared" si="1"/>
        <v>-4275.58</v>
      </c>
    </row>
    <row r="99" spans="1:8">
      <c r="A99" s="14">
        <v>94</v>
      </c>
      <c r="B99" s="9">
        <v>45692</v>
      </c>
      <c r="C99" s="10" t="s">
        <v>113</v>
      </c>
      <c r="D99" s="10" t="s">
        <v>9</v>
      </c>
      <c r="E99" s="11" t="s">
        <v>21</v>
      </c>
      <c r="F99" s="5">
        <v>4033.2</v>
      </c>
      <c r="G99" s="13" t="s">
        <v>114</v>
      </c>
      <c r="H99" s="12">
        <f t="shared" si="1"/>
        <v>-4033.2</v>
      </c>
    </row>
    <row r="100" spans="1:8">
      <c r="A100" s="14">
        <v>95</v>
      </c>
      <c r="B100" s="9">
        <v>45692</v>
      </c>
      <c r="C100" s="10" t="s">
        <v>113</v>
      </c>
      <c r="D100" s="10" t="s">
        <v>10</v>
      </c>
      <c r="E100" s="11" t="s">
        <v>65</v>
      </c>
      <c r="F100" s="5">
        <v>4511.1099999999997</v>
      </c>
      <c r="G100" s="13" t="s">
        <v>114</v>
      </c>
      <c r="H100" s="12">
        <f t="shared" si="1"/>
        <v>-4511.1099999999997</v>
      </c>
    </row>
    <row r="101" spans="1:8">
      <c r="A101" s="14">
        <v>96</v>
      </c>
      <c r="B101" s="9">
        <v>45692</v>
      </c>
      <c r="C101" s="10" t="s">
        <v>113</v>
      </c>
      <c r="D101" s="10" t="s">
        <v>17</v>
      </c>
      <c r="E101" s="11" t="s">
        <v>36</v>
      </c>
      <c r="F101" s="5">
        <v>1615.32</v>
      </c>
      <c r="G101" s="13" t="s">
        <v>114</v>
      </c>
      <c r="H101" s="12">
        <f t="shared" si="1"/>
        <v>-1615.32</v>
      </c>
    </row>
    <row r="102" spans="1:8">
      <c r="A102" s="14">
        <v>97</v>
      </c>
      <c r="B102" s="9">
        <v>45692</v>
      </c>
      <c r="C102" s="10" t="s">
        <v>113</v>
      </c>
      <c r="D102" s="10" t="s">
        <v>10</v>
      </c>
      <c r="E102" s="11" t="s">
        <v>30</v>
      </c>
      <c r="F102" s="5">
        <v>2376.3000000000002</v>
      </c>
      <c r="G102" s="13" t="s">
        <v>114</v>
      </c>
      <c r="H102" s="12">
        <f t="shared" si="1"/>
        <v>-2376.3000000000002</v>
      </c>
    </row>
    <row r="103" spans="1:8">
      <c r="A103" s="14">
        <v>98</v>
      </c>
      <c r="B103" s="9">
        <v>45692</v>
      </c>
      <c r="C103" s="10" t="s">
        <v>113</v>
      </c>
      <c r="D103" s="10" t="s">
        <v>14</v>
      </c>
      <c r="E103" s="11" t="s">
        <v>29</v>
      </c>
      <c r="F103" s="5">
        <v>1504.48</v>
      </c>
      <c r="G103" s="13" t="s">
        <v>114</v>
      </c>
      <c r="H103" s="12">
        <f t="shared" si="1"/>
        <v>-1504.48</v>
      </c>
    </row>
    <row r="104" spans="1:8">
      <c r="A104" s="14">
        <v>99</v>
      </c>
      <c r="B104" s="9">
        <v>45692</v>
      </c>
      <c r="C104" s="10" t="s">
        <v>113</v>
      </c>
      <c r="D104" s="10" t="s">
        <v>16</v>
      </c>
      <c r="E104" s="11" t="s">
        <v>39</v>
      </c>
      <c r="F104" s="5">
        <v>149.31</v>
      </c>
      <c r="G104" s="13" t="s">
        <v>114</v>
      </c>
      <c r="H104" s="12">
        <f t="shared" si="1"/>
        <v>-149.31</v>
      </c>
    </row>
    <row r="105" spans="1:8">
      <c r="A105" s="14">
        <v>100</v>
      </c>
      <c r="B105" s="9">
        <v>45692</v>
      </c>
      <c r="C105" s="10" t="s">
        <v>113</v>
      </c>
      <c r="D105" s="10" t="s">
        <v>15</v>
      </c>
      <c r="E105" s="11" t="s">
        <v>43</v>
      </c>
      <c r="F105" s="5">
        <v>860.47</v>
      </c>
      <c r="G105" s="13" t="s">
        <v>114</v>
      </c>
      <c r="H105" s="12">
        <f t="shared" si="1"/>
        <v>-860.47</v>
      </c>
    </row>
    <row r="106" spans="1:8">
      <c r="A106" s="14">
        <v>101</v>
      </c>
      <c r="B106" s="9">
        <v>45692</v>
      </c>
      <c r="C106" s="10" t="s">
        <v>113</v>
      </c>
      <c r="D106" s="10" t="s">
        <v>14</v>
      </c>
      <c r="E106" s="11" t="s">
        <v>40</v>
      </c>
      <c r="F106" s="5">
        <v>3437.06</v>
      </c>
      <c r="G106" s="13" t="s">
        <v>114</v>
      </c>
      <c r="H106" s="12">
        <f t="shared" si="1"/>
        <v>-3437.06</v>
      </c>
    </row>
    <row r="107" spans="1:8">
      <c r="A107" s="14">
        <v>102</v>
      </c>
      <c r="B107" s="9">
        <v>45693</v>
      </c>
      <c r="C107" s="10" t="s">
        <v>113</v>
      </c>
      <c r="D107" s="10" t="s">
        <v>9</v>
      </c>
      <c r="E107" s="11" t="s">
        <v>44</v>
      </c>
      <c r="F107" s="5">
        <v>2690.36</v>
      </c>
      <c r="G107" s="13" t="s">
        <v>114</v>
      </c>
      <c r="H107" s="12">
        <f t="shared" si="1"/>
        <v>-2690.36</v>
      </c>
    </row>
    <row r="108" spans="1:8">
      <c r="A108" s="14">
        <v>103</v>
      </c>
      <c r="B108" s="9">
        <v>45693</v>
      </c>
      <c r="C108" s="10" t="s">
        <v>113</v>
      </c>
      <c r="D108" s="10" t="s">
        <v>14</v>
      </c>
      <c r="E108" s="11" t="s">
        <v>23</v>
      </c>
      <c r="F108" s="5">
        <v>4426.67</v>
      </c>
      <c r="G108" s="13" t="s">
        <v>114</v>
      </c>
      <c r="H108" s="12">
        <f t="shared" si="1"/>
        <v>-4426.67</v>
      </c>
    </row>
    <row r="109" spans="1:8">
      <c r="A109" s="14">
        <v>104</v>
      </c>
      <c r="B109" s="9">
        <v>45693</v>
      </c>
      <c r="C109" s="10" t="s">
        <v>113</v>
      </c>
      <c r="D109" s="10" t="s">
        <v>15</v>
      </c>
      <c r="E109" s="11" t="s">
        <v>61</v>
      </c>
      <c r="F109" s="5">
        <v>1312.53</v>
      </c>
      <c r="G109" s="13" t="s">
        <v>114</v>
      </c>
      <c r="H109" s="12">
        <f t="shared" si="1"/>
        <v>-1312.53</v>
      </c>
    </row>
    <row r="110" spans="1:8">
      <c r="A110" s="14">
        <v>105</v>
      </c>
      <c r="B110" s="9">
        <v>45693</v>
      </c>
      <c r="C110" s="10" t="s">
        <v>113</v>
      </c>
      <c r="D110" s="10" t="s">
        <v>9</v>
      </c>
      <c r="E110" s="11" t="s">
        <v>72</v>
      </c>
      <c r="F110" s="5">
        <v>1132.31</v>
      </c>
      <c r="G110" s="13" t="s">
        <v>114</v>
      </c>
      <c r="H110" s="12">
        <f t="shared" si="1"/>
        <v>-1132.31</v>
      </c>
    </row>
    <row r="111" spans="1:8">
      <c r="A111" s="14">
        <v>106</v>
      </c>
      <c r="B111" s="9">
        <v>45693</v>
      </c>
      <c r="C111" s="10" t="s">
        <v>113</v>
      </c>
      <c r="D111" s="10" t="s">
        <v>14</v>
      </c>
      <c r="E111" s="11" t="s">
        <v>23</v>
      </c>
      <c r="F111" s="5">
        <v>3377.92</v>
      </c>
      <c r="G111" s="13" t="s">
        <v>114</v>
      </c>
      <c r="H111" s="12">
        <f t="shared" si="1"/>
        <v>-3377.92</v>
      </c>
    </row>
    <row r="112" spans="1:8">
      <c r="A112" s="14">
        <v>107</v>
      </c>
      <c r="B112" s="9">
        <v>45693</v>
      </c>
      <c r="C112" s="10" t="s">
        <v>113</v>
      </c>
      <c r="D112" s="10" t="s">
        <v>16</v>
      </c>
      <c r="E112" s="11" t="s">
        <v>33</v>
      </c>
      <c r="F112" s="5">
        <v>578.04</v>
      </c>
      <c r="G112" s="13" t="s">
        <v>114</v>
      </c>
      <c r="H112" s="12">
        <f t="shared" si="1"/>
        <v>-578.04</v>
      </c>
    </row>
    <row r="113" spans="1:8">
      <c r="A113" s="14">
        <v>108</v>
      </c>
      <c r="B113" s="9">
        <v>45694</v>
      </c>
      <c r="C113" s="10" t="s">
        <v>113</v>
      </c>
      <c r="D113" s="10" t="s">
        <v>14</v>
      </c>
      <c r="E113" s="11" t="s">
        <v>58</v>
      </c>
      <c r="F113" s="5">
        <v>388.46</v>
      </c>
      <c r="G113" s="13" t="s">
        <v>114</v>
      </c>
      <c r="H113" s="12">
        <f t="shared" si="1"/>
        <v>-388.46</v>
      </c>
    </row>
    <row r="114" spans="1:8">
      <c r="A114" s="14">
        <v>109</v>
      </c>
      <c r="B114" s="9">
        <v>45694</v>
      </c>
      <c r="C114" s="10" t="s">
        <v>113</v>
      </c>
      <c r="D114" s="10" t="s">
        <v>17</v>
      </c>
      <c r="E114" s="11" t="s">
        <v>36</v>
      </c>
      <c r="F114" s="5">
        <v>1345.38</v>
      </c>
      <c r="G114" s="13" t="s">
        <v>114</v>
      </c>
      <c r="H114" s="12">
        <f t="shared" si="1"/>
        <v>-1345.38</v>
      </c>
    </row>
    <row r="115" spans="1:8">
      <c r="A115" s="14">
        <v>110</v>
      </c>
      <c r="B115" s="9">
        <v>45694</v>
      </c>
      <c r="C115" s="10" t="s">
        <v>113</v>
      </c>
      <c r="D115" s="10" t="s">
        <v>10</v>
      </c>
      <c r="E115" s="11" t="s">
        <v>70</v>
      </c>
      <c r="F115" s="5">
        <v>2511.4899999999998</v>
      </c>
      <c r="G115" s="13" t="s">
        <v>114</v>
      </c>
      <c r="H115" s="12">
        <f t="shared" si="1"/>
        <v>-2511.4899999999998</v>
      </c>
    </row>
    <row r="116" spans="1:8">
      <c r="A116" s="14">
        <v>111</v>
      </c>
      <c r="B116" s="9">
        <v>45695</v>
      </c>
      <c r="C116" s="10" t="s">
        <v>113</v>
      </c>
      <c r="D116" s="10" t="s">
        <v>9</v>
      </c>
      <c r="E116" s="11" t="s">
        <v>50</v>
      </c>
      <c r="F116" s="5">
        <v>2231.14</v>
      </c>
      <c r="G116" s="13" t="s">
        <v>114</v>
      </c>
      <c r="H116" s="12">
        <f t="shared" si="1"/>
        <v>-2231.14</v>
      </c>
    </row>
    <row r="117" spans="1:8">
      <c r="A117" s="14">
        <v>112</v>
      </c>
      <c r="B117" s="9">
        <v>45695</v>
      </c>
      <c r="C117" s="10" t="s">
        <v>113</v>
      </c>
      <c r="D117" s="10" t="s">
        <v>10</v>
      </c>
      <c r="E117" s="11" t="s">
        <v>65</v>
      </c>
      <c r="F117" s="5">
        <v>4011.81</v>
      </c>
      <c r="G117" s="13" t="s">
        <v>114</v>
      </c>
      <c r="H117" s="12">
        <f t="shared" si="1"/>
        <v>-4011.81</v>
      </c>
    </row>
    <row r="118" spans="1:8">
      <c r="A118" s="14">
        <v>113</v>
      </c>
      <c r="B118" s="9">
        <v>45695</v>
      </c>
      <c r="C118" s="10" t="s">
        <v>113</v>
      </c>
      <c r="D118" s="10" t="s">
        <v>16</v>
      </c>
      <c r="E118" s="11" t="s">
        <v>33</v>
      </c>
      <c r="F118" s="5">
        <v>495.19</v>
      </c>
      <c r="G118" s="13" t="s">
        <v>114</v>
      </c>
      <c r="H118" s="12">
        <f t="shared" si="1"/>
        <v>-495.19</v>
      </c>
    </row>
    <row r="119" spans="1:8">
      <c r="A119" s="14">
        <v>114</v>
      </c>
      <c r="B119" s="9">
        <v>45695</v>
      </c>
      <c r="C119" s="10" t="s">
        <v>113</v>
      </c>
      <c r="D119" s="10" t="s">
        <v>15</v>
      </c>
      <c r="E119" s="11" t="s">
        <v>37</v>
      </c>
      <c r="F119" s="5">
        <v>791.03</v>
      </c>
      <c r="G119" s="13" t="s">
        <v>114</v>
      </c>
      <c r="H119" s="12">
        <f t="shared" si="1"/>
        <v>-791.03</v>
      </c>
    </row>
    <row r="120" spans="1:8">
      <c r="A120" s="14">
        <v>115</v>
      </c>
      <c r="B120" s="9">
        <v>45695</v>
      </c>
      <c r="C120" s="10" t="s">
        <v>113</v>
      </c>
      <c r="D120" s="10" t="s">
        <v>10</v>
      </c>
      <c r="E120" s="11" t="s">
        <v>19</v>
      </c>
      <c r="F120" s="5">
        <v>21899.95</v>
      </c>
      <c r="G120" s="13" t="s">
        <v>114</v>
      </c>
      <c r="H120" s="12">
        <f t="shared" si="1"/>
        <v>-21899.95</v>
      </c>
    </row>
    <row r="121" spans="1:8">
      <c r="A121" s="14">
        <v>116</v>
      </c>
      <c r="B121" s="9">
        <v>45695</v>
      </c>
      <c r="C121" s="10" t="s">
        <v>113</v>
      </c>
      <c r="D121" s="10" t="s">
        <v>14</v>
      </c>
      <c r="E121" s="11" t="s">
        <v>29</v>
      </c>
      <c r="F121" s="5">
        <v>2990.46</v>
      </c>
      <c r="G121" s="13" t="s">
        <v>114</v>
      </c>
      <c r="H121" s="12">
        <f t="shared" si="1"/>
        <v>-2990.46</v>
      </c>
    </row>
    <row r="122" spans="1:8">
      <c r="A122" s="14">
        <v>117</v>
      </c>
      <c r="B122" s="9">
        <v>45696</v>
      </c>
      <c r="C122" s="10" t="s">
        <v>113</v>
      </c>
      <c r="D122" s="10" t="s">
        <v>14</v>
      </c>
      <c r="E122" s="11" t="s">
        <v>29</v>
      </c>
      <c r="F122" s="5">
        <v>783.87</v>
      </c>
      <c r="G122" s="13" t="s">
        <v>114</v>
      </c>
      <c r="H122" s="12">
        <f t="shared" si="1"/>
        <v>-783.87</v>
      </c>
    </row>
    <row r="123" spans="1:8">
      <c r="A123" s="14">
        <v>118</v>
      </c>
      <c r="B123" s="9">
        <v>45696</v>
      </c>
      <c r="C123" s="10" t="s">
        <v>113</v>
      </c>
      <c r="D123" s="10" t="s">
        <v>15</v>
      </c>
      <c r="E123" s="11" t="s">
        <v>8</v>
      </c>
      <c r="F123" s="5">
        <v>4515.3500000000004</v>
      </c>
      <c r="G123" s="13" t="s">
        <v>114</v>
      </c>
      <c r="H123" s="12">
        <f t="shared" si="1"/>
        <v>-4515.3500000000004</v>
      </c>
    </row>
    <row r="124" spans="1:8">
      <c r="A124" s="14">
        <v>119</v>
      </c>
      <c r="B124" s="9">
        <v>45698</v>
      </c>
      <c r="C124" s="10" t="s">
        <v>113</v>
      </c>
      <c r="D124" s="10" t="s">
        <v>15</v>
      </c>
      <c r="E124" s="11" t="s">
        <v>71</v>
      </c>
      <c r="F124" s="5">
        <v>1427.25</v>
      </c>
      <c r="G124" s="13" t="s">
        <v>114</v>
      </c>
      <c r="H124" s="12">
        <f t="shared" si="1"/>
        <v>-1427.25</v>
      </c>
    </row>
    <row r="125" spans="1:8">
      <c r="A125" s="14">
        <v>120</v>
      </c>
      <c r="B125" s="9">
        <v>45698</v>
      </c>
      <c r="C125" s="10" t="s">
        <v>113</v>
      </c>
      <c r="D125" s="10" t="s">
        <v>14</v>
      </c>
      <c r="E125" s="11" t="s">
        <v>40</v>
      </c>
      <c r="F125" s="5">
        <v>4418.3599999999997</v>
      </c>
      <c r="G125" s="13" t="s">
        <v>114</v>
      </c>
      <c r="H125" s="12">
        <f t="shared" si="1"/>
        <v>-4418.3599999999997</v>
      </c>
    </row>
    <row r="126" spans="1:8">
      <c r="A126" s="14">
        <v>121</v>
      </c>
      <c r="B126" s="9">
        <v>45698</v>
      </c>
      <c r="C126" s="10" t="s">
        <v>113</v>
      </c>
      <c r="D126" s="10" t="s">
        <v>15</v>
      </c>
      <c r="E126" s="11" t="s">
        <v>8</v>
      </c>
      <c r="F126" s="5">
        <v>7448.3</v>
      </c>
      <c r="G126" s="13" t="s">
        <v>114</v>
      </c>
      <c r="H126" s="12">
        <f t="shared" si="1"/>
        <v>-7448.3</v>
      </c>
    </row>
    <row r="127" spans="1:8">
      <c r="A127" s="14">
        <v>122</v>
      </c>
      <c r="B127" s="9">
        <v>45698</v>
      </c>
      <c r="C127" s="10" t="s">
        <v>113</v>
      </c>
      <c r="D127" s="10" t="s">
        <v>15</v>
      </c>
      <c r="E127" s="11" t="s">
        <v>26</v>
      </c>
      <c r="F127" s="5">
        <v>2862.12</v>
      </c>
      <c r="G127" s="13" t="s">
        <v>114</v>
      </c>
      <c r="H127" s="12">
        <f t="shared" si="1"/>
        <v>-2862.12</v>
      </c>
    </row>
    <row r="128" spans="1:8">
      <c r="A128" s="14">
        <v>123</v>
      </c>
      <c r="B128" s="9">
        <v>45699</v>
      </c>
      <c r="C128" s="10" t="s">
        <v>113</v>
      </c>
      <c r="D128" s="10" t="s">
        <v>14</v>
      </c>
      <c r="E128" s="11" t="s">
        <v>69</v>
      </c>
      <c r="F128" s="5">
        <v>1358.42</v>
      </c>
      <c r="G128" s="13" t="s">
        <v>114</v>
      </c>
      <c r="H128" s="12">
        <f t="shared" si="1"/>
        <v>-1358.42</v>
      </c>
    </row>
    <row r="129" spans="1:8">
      <c r="A129" s="14">
        <v>124</v>
      </c>
      <c r="B129" s="9">
        <v>45699</v>
      </c>
      <c r="C129" s="10" t="s">
        <v>113</v>
      </c>
      <c r="D129" s="10" t="s">
        <v>17</v>
      </c>
      <c r="E129" s="11" t="s">
        <v>20</v>
      </c>
      <c r="F129" s="5">
        <v>131.71</v>
      </c>
      <c r="G129" s="13" t="s">
        <v>114</v>
      </c>
      <c r="H129" s="12">
        <f t="shared" si="1"/>
        <v>-131.71</v>
      </c>
    </row>
    <row r="130" spans="1:8">
      <c r="A130" s="14">
        <v>125</v>
      </c>
      <c r="B130" s="9">
        <v>45699</v>
      </c>
      <c r="C130" s="10" t="s">
        <v>113</v>
      </c>
      <c r="D130" s="10" t="s">
        <v>15</v>
      </c>
      <c r="E130" s="11" t="s">
        <v>26</v>
      </c>
      <c r="F130" s="5">
        <v>3274</v>
      </c>
      <c r="G130" s="13" t="s">
        <v>114</v>
      </c>
      <c r="H130" s="12">
        <f t="shared" si="1"/>
        <v>-3274</v>
      </c>
    </row>
    <row r="131" spans="1:8">
      <c r="A131" s="14">
        <v>126</v>
      </c>
      <c r="B131" s="9">
        <v>45699</v>
      </c>
      <c r="C131" s="10" t="s">
        <v>113</v>
      </c>
      <c r="D131" s="10" t="s">
        <v>9</v>
      </c>
      <c r="E131" s="11" t="s">
        <v>72</v>
      </c>
      <c r="F131" s="5">
        <v>853.1</v>
      </c>
      <c r="G131" s="13" t="s">
        <v>114</v>
      </c>
      <c r="H131" s="12">
        <f t="shared" si="1"/>
        <v>-853.1</v>
      </c>
    </row>
    <row r="132" spans="1:8">
      <c r="A132" s="14">
        <v>127</v>
      </c>
      <c r="B132" s="9">
        <v>45699</v>
      </c>
      <c r="C132" s="10" t="s">
        <v>113</v>
      </c>
      <c r="D132" s="10" t="s">
        <v>9</v>
      </c>
      <c r="E132" s="11" t="s">
        <v>38</v>
      </c>
      <c r="F132" s="5">
        <v>7563.04</v>
      </c>
      <c r="G132" s="13" t="s">
        <v>114</v>
      </c>
      <c r="H132" s="12">
        <f t="shared" si="1"/>
        <v>-7563.04</v>
      </c>
    </row>
    <row r="133" spans="1:8">
      <c r="A133" s="14">
        <v>128</v>
      </c>
      <c r="B133" s="9">
        <v>45699</v>
      </c>
      <c r="C133" s="10" t="s">
        <v>113</v>
      </c>
      <c r="D133" s="10" t="s">
        <v>10</v>
      </c>
      <c r="E133" s="11" t="s">
        <v>65</v>
      </c>
      <c r="F133" s="5">
        <v>3124.48</v>
      </c>
      <c r="G133" s="13" t="s">
        <v>114</v>
      </c>
      <c r="H133" s="12">
        <f t="shared" ref="H133:H196" si="2">IF(C133="Despesa", F133*-1, F133)</f>
        <v>-3124.48</v>
      </c>
    </row>
    <row r="134" spans="1:8">
      <c r="A134" s="14">
        <v>129</v>
      </c>
      <c r="B134" s="9">
        <v>45700</v>
      </c>
      <c r="C134" s="10" t="s">
        <v>113</v>
      </c>
      <c r="D134" s="10" t="s">
        <v>10</v>
      </c>
      <c r="E134" s="11" t="s">
        <v>59</v>
      </c>
      <c r="F134" s="5">
        <v>5764.93</v>
      </c>
      <c r="G134" s="13" t="s">
        <v>114</v>
      </c>
      <c r="H134" s="12">
        <f t="shared" si="2"/>
        <v>-5764.93</v>
      </c>
    </row>
    <row r="135" spans="1:8">
      <c r="A135" s="14">
        <v>130</v>
      </c>
      <c r="B135" s="9">
        <v>45700</v>
      </c>
      <c r="C135" s="10" t="s">
        <v>113</v>
      </c>
      <c r="D135" s="10" t="s">
        <v>15</v>
      </c>
      <c r="E135" s="11" t="s">
        <v>7</v>
      </c>
      <c r="F135" s="5">
        <v>787.75</v>
      </c>
      <c r="G135" s="13" t="s">
        <v>114</v>
      </c>
      <c r="H135" s="12">
        <f t="shared" si="2"/>
        <v>-787.75</v>
      </c>
    </row>
    <row r="136" spans="1:8">
      <c r="A136" s="14">
        <v>131</v>
      </c>
      <c r="B136" s="9">
        <v>45700</v>
      </c>
      <c r="C136" s="10" t="s">
        <v>113</v>
      </c>
      <c r="D136" s="10" t="s">
        <v>14</v>
      </c>
      <c r="E136" s="11" t="s">
        <v>40</v>
      </c>
      <c r="F136" s="5">
        <v>13814.42</v>
      </c>
      <c r="G136" s="13" t="s">
        <v>114</v>
      </c>
      <c r="H136" s="12">
        <f t="shared" si="2"/>
        <v>-13814.42</v>
      </c>
    </row>
    <row r="137" spans="1:8">
      <c r="A137" s="14">
        <v>132</v>
      </c>
      <c r="B137" s="9">
        <v>45700</v>
      </c>
      <c r="C137" s="10" t="s">
        <v>113</v>
      </c>
      <c r="D137" s="10" t="s">
        <v>10</v>
      </c>
      <c r="E137" s="11" t="s">
        <v>53</v>
      </c>
      <c r="F137" s="5">
        <v>5193.62</v>
      </c>
      <c r="G137" s="13" t="s">
        <v>114</v>
      </c>
      <c r="H137" s="12">
        <f t="shared" si="2"/>
        <v>-5193.62</v>
      </c>
    </row>
    <row r="138" spans="1:8">
      <c r="A138" s="14">
        <v>133</v>
      </c>
      <c r="B138" s="9">
        <v>45700</v>
      </c>
      <c r="C138" s="10" t="s">
        <v>113</v>
      </c>
      <c r="D138" s="10" t="s">
        <v>14</v>
      </c>
      <c r="E138" s="11" t="s">
        <v>46</v>
      </c>
      <c r="F138" s="5">
        <v>2401.81</v>
      </c>
      <c r="G138" s="13" t="s">
        <v>114</v>
      </c>
      <c r="H138" s="12">
        <f t="shared" si="2"/>
        <v>-2401.81</v>
      </c>
    </row>
    <row r="139" spans="1:8">
      <c r="A139" s="14">
        <v>134</v>
      </c>
      <c r="B139" s="9">
        <v>45700</v>
      </c>
      <c r="C139" s="10" t="s">
        <v>113</v>
      </c>
      <c r="D139" s="10" t="s">
        <v>17</v>
      </c>
      <c r="E139" s="11" t="s">
        <v>54</v>
      </c>
      <c r="F139" s="5">
        <v>4054.63</v>
      </c>
      <c r="G139" s="13" t="s">
        <v>114</v>
      </c>
      <c r="H139" s="12">
        <f t="shared" si="2"/>
        <v>-4054.63</v>
      </c>
    </row>
    <row r="140" spans="1:8">
      <c r="A140" s="14">
        <v>135</v>
      </c>
      <c r="B140" s="9">
        <v>45701</v>
      </c>
      <c r="C140" s="10" t="s">
        <v>113</v>
      </c>
      <c r="D140" s="10" t="s">
        <v>14</v>
      </c>
      <c r="E140" s="11" t="s">
        <v>74</v>
      </c>
      <c r="F140" s="5">
        <v>405.58</v>
      </c>
      <c r="G140" s="13" t="s">
        <v>114</v>
      </c>
      <c r="H140" s="12">
        <f t="shared" si="2"/>
        <v>-405.58</v>
      </c>
    </row>
    <row r="141" spans="1:8">
      <c r="A141" s="14">
        <v>136</v>
      </c>
      <c r="B141" s="9">
        <v>45701</v>
      </c>
      <c r="C141" s="10" t="s">
        <v>113</v>
      </c>
      <c r="D141" s="10" t="s">
        <v>17</v>
      </c>
      <c r="E141" s="11" t="s">
        <v>36</v>
      </c>
      <c r="F141" s="5">
        <v>1421.42</v>
      </c>
      <c r="G141" s="13" t="s">
        <v>114</v>
      </c>
      <c r="H141" s="12">
        <f t="shared" si="2"/>
        <v>-1421.42</v>
      </c>
    </row>
    <row r="142" spans="1:8">
      <c r="A142" s="14">
        <v>137</v>
      </c>
      <c r="B142" s="9">
        <v>45701</v>
      </c>
      <c r="C142" s="10" t="s">
        <v>113</v>
      </c>
      <c r="D142" s="10" t="s">
        <v>10</v>
      </c>
      <c r="E142" s="11" t="s">
        <v>70</v>
      </c>
      <c r="F142" s="5">
        <v>2028.78</v>
      </c>
      <c r="G142" s="13" t="s">
        <v>114</v>
      </c>
      <c r="H142" s="12">
        <f t="shared" si="2"/>
        <v>-2028.78</v>
      </c>
    </row>
    <row r="143" spans="1:8">
      <c r="A143" s="14">
        <v>138</v>
      </c>
      <c r="B143" s="9">
        <v>45701</v>
      </c>
      <c r="C143" s="10" t="s">
        <v>113</v>
      </c>
      <c r="D143" s="10" t="s">
        <v>9</v>
      </c>
      <c r="E143" s="11" t="s">
        <v>21</v>
      </c>
      <c r="F143" s="5">
        <v>2801.35</v>
      </c>
      <c r="G143" s="13" t="s">
        <v>114</v>
      </c>
      <c r="H143" s="12">
        <f t="shared" si="2"/>
        <v>-2801.35</v>
      </c>
    </row>
    <row r="144" spans="1:8">
      <c r="A144" s="14">
        <v>139</v>
      </c>
      <c r="B144" s="9">
        <v>45701</v>
      </c>
      <c r="C144" s="10" t="s">
        <v>113</v>
      </c>
      <c r="D144" s="10" t="s">
        <v>15</v>
      </c>
      <c r="E144" s="11" t="s">
        <v>7</v>
      </c>
      <c r="F144" s="5">
        <v>1328.13</v>
      </c>
      <c r="G144" s="13" t="s">
        <v>114</v>
      </c>
      <c r="H144" s="12">
        <f t="shared" si="2"/>
        <v>-1328.13</v>
      </c>
    </row>
    <row r="145" spans="1:8">
      <c r="A145" s="14">
        <v>140</v>
      </c>
      <c r="B145" s="9">
        <v>45701</v>
      </c>
      <c r="C145" s="10" t="s">
        <v>113</v>
      </c>
      <c r="D145" s="10" t="s">
        <v>15</v>
      </c>
      <c r="E145" s="11" t="s">
        <v>66</v>
      </c>
      <c r="F145" s="5">
        <v>6226.59</v>
      </c>
      <c r="G145" s="13" t="s">
        <v>114</v>
      </c>
      <c r="H145" s="12">
        <f t="shared" si="2"/>
        <v>-6226.59</v>
      </c>
    </row>
    <row r="146" spans="1:8">
      <c r="A146" s="14">
        <v>141</v>
      </c>
      <c r="B146" s="9">
        <v>45701</v>
      </c>
      <c r="C146" s="10" t="s">
        <v>113</v>
      </c>
      <c r="D146" s="10" t="s">
        <v>9</v>
      </c>
      <c r="E146" s="11" t="s">
        <v>21</v>
      </c>
      <c r="F146" s="5">
        <v>4029.43</v>
      </c>
      <c r="G146" s="13" t="s">
        <v>114</v>
      </c>
      <c r="H146" s="12">
        <f t="shared" si="2"/>
        <v>-4029.43</v>
      </c>
    </row>
    <row r="147" spans="1:8">
      <c r="A147" s="14">
        <v>142</v>
      </c>
      <c r="B147" s="9">
        <v>45702</v>
      </c>
      <c r="C147" s="10" t="s">
        <v>113</v>
      </c>
      <c r="D147" s="10" t="s">
        <v>15</v>
      </c>
      <c r="E147" s="11" t="s">
        <v>43</v>
      </c>
      <c r="F147" s="5">
        <v>1841.15</v>
      </c>
      <c r="G147" s="13" t="s">
        <v>114</v>
      </c>
      <c r="H147" s="12">
        <f t="shared" si="2"/>
        <v>-1841.15</v>
      </c>
    </row>
    <row r="148" spans="1:8">
      <c r="A148" s="14">
        <v>143</v>
      </c>
      <c r="B148" s="9">
        <v>45702</v>
      </c>
      <c r="C148" s="10" t="s">
        <v>113</v>
      </c>
      <c r="D148" s="10" t="s">
        <v>15</v>
      </c>
      <c r="E148" s="11" t="s">
        <v>7</v>
      </c>
      <c r="F148" s="5">
        <v>399.85</v>
      </c>
      <c r="G148" s="13" t="s">
        <v>114</v>
      </c>
      <c r="H148" s="12">
        <f t="shared" si="2"/>
        <v>-399.85</v>
      </c>
    </row>
    <row r="149" spans="1:8">
      <c r="A149" s="14">
        <v>144</v>
      </c>
      <c r="B149" s="9">
        <v>45702</v>
      </c>
      <c r="C149" s="10" t="s">
        <v>113</v>
      </c>
      <c r="D149" s="10" t="s">
        <v>15</v>
      </c>
      <c r="E149" s="11" t="s">
        <v>55</v>
      </c>
      <c r="F149" s="5">
        <v>3381.19</v>
      </c>
      <c r="G149" s="13" t="s">
        <v>114</v>
      </c>
      <c r="H149" s="12">
        <f t="shared" si="2"/>
        <v>-3381.19</v>
      </c>
    </row>
    <row r="150" spans="1:8">
      <c r="A150" s="14">
        <v>145</v>
      </c>
      <c r="B150" s="9">
        <v>45702</v>
      </c>
      <c r="C150" s="10" t="s">
        <v>113</v>
      </c>
      <c r="D150" s="10" t="s">
        <v>9</v>
      </c>
      <c r="E150" s="11" t="s">
        <v>27</v>
      </c>
      <c r="F150" s="5">
        <v>1722.68</v>
      </c>
      <c r="G150" s="13" t="s">
        <v>114</v>
      </c>
      <c r="H150" s="12">
        <f t="shared" si="2"/>
        <v>-1722.68</v>
      </c>
    </row>
    <row r="151" spans="1:8">
      <c r="A151" s="14">
        <v>146</v>
      </c>
      <c r="B151" s="9">
        <v>45702</v>
      </c>
      <c r="C151" s="10" t="s">
        <v>113</v>
      </c>
      <c r="D151" s="10" t="s">
        <v>17</v>
      </c>
      <c r="E151" s="11" t="s">
        <v>20</v>
      </c>
      <c r="F151" s="5">
        <v>82.58</v>
      </c>
      <c r="G151" s="13" t="s">
        <v>114</v>
      </c>
      <c r="H151" s="12">
        <f t="shared" si="2"/>
        <v>-82.58</v>
      </c>
    </row>
    <row r="152" spans="1:8">
      <c r="A152" s="14">
        <v>147</v>
      </c>
      <c r="B152" s="9">
        <v>45702</v>
      </c>
      <c r="C152" s="10" t="s">
        <v>113</v>
      </c>
      <c r="D152" s="10" t="s">
        <v>9</v>
      </c>
      <c r="E152" s="11" t="s">
        <v>21</v>
      </c>
      <c r="F152" s="5">
        <v>1339.84</v>
      </c>
      <c r="G152" s="13" t="s">
        <v>114</v>
      </c>
      <c r="H152" s="12">
        <f t="shared" si="2"/>
        <v>-1339.84</v>
      </c>
    </row>
    <row r="153" spans="1:8">
      <c r="A153" s="14">
        <v>148</v>
      </c>
      <c r="B153" s="9">
        <v>45702</v>
      </c>
      <c r="C153" s="10" t="s">
        <v>113</v>
      </c>
      <c r="D153" s="10" t="s">
        <v>15</v>
      </c>
      <c r="E153" s="11" t="s">
        <v>61</v>
      </c>
      <c r="F153" s="5">
        <v>981.33</v>
      </c>
      <c r="G153" s="13" t="s">
        <v>114</v>
      </c>
      <c r="H153" s="12">
        <f t="shared" si="2"/>
        <v>-981.33</v>
      </c>
    </row>
    <row r="154" spans="1:8">
      <c r="A154" s="14">
        <v>149</v>
      </c>
      <c r="B154" s="9">
        <v>45702</v>
      </c>
      <c r="C154" s="10" t="s">
        <v>113</v>
      </c>
      <c r="D154" s="10" t="s">
        <v>9</v>
      </c>
      <c r="E154" s="11" t="s">
        <v>21</v>
      </c>
      <c r="F154" s="5">
        <v>3839.08</v>
      </c>
      <c r="G154" s="13" t="s">
        <v>114</v>
      </c>
      <c r="H154" s="12">
        <f t="shared" si="2"/>
        <v>-3839.08</v>
      </c>
    </row>
    <row r="155" spans="1:8">
      <c r="A155" s="14">
        <v>150</v>
      </c>
      <c r="B155" s="9">
        <v>45702</v>
      </c>
      <c r="C155" s="10" t="s">
        <v>113</v>
      </c>
      <c r="D155" s="10" t="s">
        <v>16</v>
      </c>
      <c r="E155" s="11" t="s">
        <v>33</v>
      </c>
      <c r="F155" s="5">
        <v>1285.53</v>
      </c>
      <c r="G155" s="13" t="s">
        <v>114</v>
      </c>
      <c r="H155" s="12">
        <f t="shared" si="2"/>
        <v>-1285.53</v>
      </c>
    </row>
    <row r="156" spans="1:8">
      <c r="A156" s="14">
        <v>151</v>
      </c>
      <c r="B156" s="9">
        <v>45703</v>
      </c>
      <c r="C156" s="10" t="s">
        <v>113</v>
      </c>
      <c r="D156" s="10" t="s">
        <v>15</v>
      </c>
      <c r="E156" s="11" t="s">
        <v>43</v>
      </c>
      <c r="F156" s="5">
        <v>1570.72</v>
      </c>
      <c r="G156" s="13" t="s">
        <v>114</v>
      </c>
      <c r="H156" s="12">
        <f t="shared" si="2"/>
        <v>-1570.72</v>
      </c>
    </row>
    <row r="157" spans="1:8">
      <c r="A157" s="14">
        <v>152</v>
      </c>
      <c r="B157" s="9">
        <v>45703</v>
      </c>
      <c r="C157" s="10" t="s">
        <v>113</v>
      </c>
      <c r="D157" s="10" t="s">
        <v>16</v>
      </c>
      <c r="E157" s="11" t="s">
        <v>33</v>
      </c>
      <c r="F157" s="5">
        <v>1047.6199999999999</v>
      </c>
      <c r="G157" s="13" t="s">
        <v>114</v>
      </c>
      <c r="H157" s="12">
        <f t="shared" si="2"/>
        <v>-1047.6199999999999</v>
      </c>
    </row>
    <row r="158" spans="1:8">
      <c r="A158" s="14">
        <v>153</v>
      </c>
      <c r="B158" s="9">
        <v>45705</v>
      </c>
      <c r="C158" s="10" t="s">
        <v>113</v>
      </c>
      <c r="D158" s="10" t="s">
        <v>17</v>
      </c>
      <c r="E158" s="11" t="s">
        <v>20</v>
      </c>
      <c r="F158" s="5">
        <v>264.75</v>
      </c>
      <c r="G158" s="13" t="s">
        <v>114</v>
      </c>
      <c r="H158" s="12">
        <f t="shared" si="2"/>
        <v>-264.75</v>
      </c>
    </row>
    <row r="159" spans="1:8">
      <c r="A159" s="14">
        <v>154</v>
      </c>
      <c r="B159" s="9">
        <v>45705</v>
      </c>
      <c r="C159" s="10" t="s">
        <v>113</v>
      </c>
      <c r="D159" s="10" t="s">
        <v>17</v>
      </c>
      <c r="E159" s="11" t="s">
        <v>20</v>
      </c>
      <c r="F159" s="5">
        <v>290.20999999999998</v>
      </c>
      <c r="G159" s="13" t="s">
        <v>114</v>
      </c>
      <c r="H159" s="12">
        <f t="shared" si="2"/>
        <v>-290.20999999999998</v>
      </c>
    </row>
    <row r="160" spans="1:8">
      <c r="A160" s="14">
        <v>155</v>
      </c>
      <c r="B160" s="9">
        <v>45705</v>
      </c>
      <c r="C160" s="10" t="s">
        <v>113</v>
      </c>
      <c r="D160" s="10" t="s">
        <v>15</v>
      </c>
      <c r="E160" s="11" t="s">
        <v>71</v>
      </c>
      <c r="F160" s="5">
        <v>2564.65</v>
      </c>
      <c r="G160" s="13" t="s">
        <v>114</v>
      </c>
      <c r="H160" s="12">
        <f t="shared" si="2"/>
        <v>-2564.65</v>
      </c>
    </row>
    <row r="161" spans="1:8">
      <c r="A161" s="14">
        <v>156</v>
      </c>
      <c r="B161" s="9">
        <v>45705</v>
      </c>
      <c r="C161" s="10" t="s">
        <v>113</v>
      </c>
      <c r="D161" s="10" t="s">
        <v>15</v>
      </c>
      <c r="E161" s="11" t="s">
        <v>55</v>
      </c>
      <c r="F161" s="5">
        <v>4237.66</v>
      </c>
      <c r="G161" s="13" t="s">
        <v>114</v>
      </c>
      <c r="H161" s="12">
        <f t="shared" si="2"/>
        <v>-4237.66</v>
      </c>
    </row>
    <row r="162" spans="1:8">
      <c r="A162" s="14">
        <v>157</v>
      </c>
      <c r="B162" s="9">
        <v>45705</v>
      </c>
      <c r="C162" s="10" t="s">
        <v>113</v>
      </c>
      <c r="D162" s="10" t="s">
        <v>9</v>
      </c>
      <c r="E162" s="11" t="s">
        <v>32</v>
      </c>
      <c r="F162" s="5">
        <v>957.23</v>
      </c>
      <c r="G162" s="13" t="s">
        <v>114</v>
      </c>
      <c r="H162" s="12">
        <f t="shared" si="2"/>
        <v>-957.23</v>
      </c>
    </row>
    <row r="163" spans="1:8">
      <c r="A163" s="14">
        <v>158</v>
      </c>
      <c r="B163" s="9">
        <v>45706</v>
      </c>
      <c r="C163" s="10" t="s">
        <v>113</v>
      </c>
      <c r="D163" s="10" t="s">
        <v>17</v>
      </c>
      <c r="E163" s="11" t="s">
        <v>54</v>
      </c>
      <c r="F163" s="5">
        <v>1707.29</v>
      </c>
      <c r="G163" s="13" t="s">
        <v>114</v>
      </c>
      <c r="H163" s="12">
        <f t="shared" si="2"/>
        <v>-1707.29</v>
      </c>
    </row>
    <row r="164" spans="1:8">
      <c r="A164" s="14">
        <v>159</v>
      </c>
      <c r="B164" s="9">
        <v>45706</v>
      </c>
      <c r="C164" s="10" t="s">
        <v>113</v>
      </c>
      <c r="D164" s="10" t="s">
        <v>14</v>
      </c>
      <c r="E164" s="11" t="s">
        <v>23</v>
      </c>
      <c r="F164" s="5">
        <v>1821.82</v>
      </c>
      <c r="G164" s="13" t="s">
        <v>114</v>
      </c>
      <c r="H164" s="12">
        <f t="shared" si="2"/>
        <v>-1821.82</v>
      </c>
    </row>
    <row r="165" spans="1:8">
      <c r="A165" s="14">
        <v>160</v>
      </c>
      <c r="B165" s="9">
        <v>45707</v>
      </c>
      <c r="C165" s="10" t="s">
        <v>113</v>
      </c>
      <c r="D165" s="10" t="s">
        <v>14</v>
      </c>
      <c r="E165" s="11" t="s">
        <v>23</v>
      </c>
      <c r="F165" s="5">
        <v>5142.95</v>
      </c>
      <c r="G165" s="13" t="s">
        <v>114</v>
      </c>
      <c r="H165" s="12">
        <f t="shared" si="2"/>
        <v>-5142.95</v>
      </c>
    </row>
    <row r="166" spans="1:8">
      <c r="A166" s="14">
        <v>161</v>
      </c>
      <c r="B166" s="9">
        <v>45707</v>
      </c>
      <c r="C166" s="10" t="s">
        <v>113</v>
      </c>
      <c r="D166" s="10" t="s">
        <v>14</v>
      </c>
      <c r="E166" s="11" t="s">
        <v>52</v>
      </c>
      <c r="F166" s="5">
        <v>1404.92</v>
      </c>
      <c r="G166" s="13" t="s">
        <v>114</v>
      </c>
      <c r="H166" s="12">
        <f t="shared" si="2"/>
        <v>-1404.92</v>
      </c>
    </row>
    <row r="167" spans="1:8">
      <c r="A167" s="14">
        <v>162</v>
      </c>
      <c r="B167" s="9">
        <v>45707</v>
      </c>
      <c r="C167" s="10" t="s">
        <v>113</v>
      </c>
      <c r="D167" s="10" t="s">
        <v>9</v>
      </c>
      <c r="E167" s="11" t="s">
        <v>50</v>
      </c>
      <c r="F167" s="5">
        <v>2783.48</v>
      </c>
      <c r="G167" s="13" t="s">
        <v>114</v>
      </c>
      <c r="H167" s="12">
        <f t="shared" si="2"/>
        <v>-2783.48</v>
      </c>
    </row>
    <row r="168" spans="1:8">
      <c r="A168" s="14">
        <v>163</v>
      </c>
      <c r="B168" s="9">
        <v>45708</v>
      </c>
      <c r="C168" s="10" t="s">
        <v>113</v>
      </c>
      <c r="D168" s="10" t="s">
        <v>14</v>
      </c>
      <c r="E168" s="11" t="s">
        <v>23</v>
      </c>
      <c r="F168" s="5">
        <v>6542.91</v>
      </c>
      <c r="G168" s="13" t="s">
        <v>114</v>
      </c>
      <c r="H168" s="12">
        <f t="shared" si="2"/>
        <v>-6542.91</v>
      </c>
    </row>
    <row r="169" spans="1:8">
      <c r="A169" s="14">
        <v>164</v>
      </c>
      <c r="B169" s="9">
        <v>45708</v>
      </c>
      <c r="C169" s="10" t="s">
        <v>113</v>
      </c>
      <c r="D169" s="10" t="s">
        <v>15</v>
      </c>
      <c r="E169" s="11" t="s">
        <v>66</v>
      </c>
      <c r="F169" s="5">
        <v>16073.54</v>
      </c>
      <c r="G169" s="13" t="s">
        <v>114</v>
      </c>
      <c r="H169" s="12">
        <f t="shared" si="2"/>
        <v>-16073.54</v>
      </c>
    </row>
    <row r="170" spans="1:8">
      <c r="A170" s="14">
        <v>165</v>
      </c>
      <c r="B170" s="9">
        <v>45708</v>
      </c>
      <c r="C170" s="10" t="s">
        <v>113</v>
      </c>
      <c r="D170" s="10" t="s">
        <v>15</v>
      </c>
      <c r="E170" s="11" t="s">
        <v>61</v>
      </c>
      <c r="F170" s="5">
        <v>759.35</v>
      </c>
      <c r="G170" s="13" t="s">
        <v>114</v>
      </c>
      <c r="H170" s="12">
        <f t="shared" si="2"/>
        <v>-759.35</v>
      </c>
    </row>
    <row r="171" spans="1:8">
      <c r="A171" s="14">
        <v>166</v>
      </c>
      <c r="B171" s="9">
        <v>45708</v>
      </c>
      <c r="C171" s="10" t="s">
        <v>113</v>
      </c>
      <c r="D171" s="10" t="s">
        <v>16</v>
      </c>
      <c r="E171" s="11" t="s">
        <v>22</v>
      </c>
      <c r="F171" s="5">
        <v>3193.22</v>
      </c>
      <c r="G171" s="13" t="s">
        <v>114</v>
      </c>
      <c r="H171" s="12">
        <f t="shared" si="2"/>
        <v>-3193.22</v>
      </c>
    </row>
    <row r="172" spans="1:8">
      <c r="A172" s="14">
        <v>167</v>
      </c>
      <c r="B172" s="9">
        <v>45708</v>
      </c>
      <c r="C172" s="10" t="s">
        <v>113</v>
      </c>
      <c r="D172" s="10" t="s">
        <v>15</v>
      </c>
      <c r="E172" s="11" t="s">
        <v>7</v>
      </c>
      <c r="F172" s="5">
        <v>641.29999999999995</v>
      </c>
      <c r="G172" s="13" t="s">
        <v>114</v>
      </c>
      <c r="H172" s="12">
        <f t="shared" si="2"/>
        <v>-641.29999999999995</v>
      </c>
    </row>
    <row r="173" spans="1:8">
      <c r="A173" s="14">
        <v>168</v>
      </c>
      <c r="B173" s="9">
        <v>45708</v>
      </c>
      <c r="C173" s="10" t="s">
        <v>113</v>
      </c>
      <c r="D173" s="10" t="s">
        <v>10</v>
      </c>
      <c r="E173" s="11" t="s">
        <v>19</v>
      </c>
      <c r="F173" s="5">
        <v>17940.29</v>
      </c>
      <c r="G173" s="13" t="s">
        <v>114</v>
      </c>
      <c r="H173" s="12">
        <f t="shared" si="2"/>
        <v>-17940.29</v>
      </c>
    </row>
    <row r="174" spans="1:8">
      <c r="A174" s="14">
        <v>169</v>
      </c>
      <c r="B174" s="9">
        <v>45708</v>
      </c>
      <c r="C174" s="10" t="s">
        <v>113</v>
      </c>
      <c r="D174" s="10" t="s">
        <v>14</v>
      </c>
      <c r="E174" s="11" t="s">
        <v>34</v>
      </c>
      <c r="F174" s="5">
        <v>5058.55</v>
      </c>
      <c r="G174" s="13" t="s">
        <v>114</v>
      </c>
      <c r="H174" s="12">
        <f t="shared" si="2"/>
        <v>-5058.55</v>
      </c>
    </row>
    <row r="175" spans="1:8">
      <c r="A175" s="14">
        <v>170</v>
      </c>
      <c r="B175" s="9">
        <v>45708</v>
      </c>
      <c r="C175" s="10" t="s">
        <v>113</v>
      </c>
      <c r="D175" s="10" t="s">
        <v>14</v>
      </c>
      <c r="E175" s="11" t="s">
        <v>74</v>
      </c>
      <c r="F175" s="5">
        <v>2049.81</v>
      </c>
      <c r="G175" s="13" t="s">
        <v>114</v>
      </c>
      <c r="H175" s="12">
        <f t="shared" si="2"/>
        <v>-2049.81</v>
      </c>
    </row>
    <row r="176" spans="1:8">
      <c r="A176" s="14">
        <v>171</v>
      </c>
      <c r="B176" s="9">
        <v>45708</v>
      </c>
      <c r="C176" s="10" t="s">
        <v>113</v>
      </c>
      <c r="D176" s="10" t="s">
        <v>9</v>
      </c>
      <c r="E176" s="11" t="s">
        <v>32</v>
      </c>
      <c r="F176" s="5">
        <v>1233.67</v>
      </c>
      <c r="G176" s="13" t="s">
        <v>114</v>
      </c>
      <c r="H176" s="12">
        <f t="shared" si="2"/>
        <v>-1233.67</v>
      </c>
    </row>
    <row r="177" spans="1:8">
      <c r="A177" s="14">
        <v>172</v>
      </c>
      <c r="B177" s="9">
        <v>45708</v>
      </c>
      <c r="C177" s="10" t="s">
        <v>113</v>
      </c>
      <c r="D177" s="10" t="s">
        <v>16</v>
      </c>
      <c r="E177" s="11" t="s">
        <v>22</v>
      </c>
      <c r="F177" s="5">
        <v>4273.84</v>
      </c>
      <c r="G177" s="13" t="s">
        <v>114</v>
      </c>
      <c r="H177" s="12">
        <f t="shared" si="2"/>
        <v>-4273.84</v>
      </c>
    </row>
    <row r="178" spans="1:8">
      <c r="A178" s="14">
        <v>173</v>
      </c>
      <c r="B178" s="9">
        <v>45708</v>
      </c>
      <c r="C178" s="10" t="s">
        <v>113</v>
      </c>
      <c r="D178" s="10" t="s">
        <v>16</v>
      </c>
      <c r="E178" s="11" t="s">
        <v>73</v>
      </c>
      <c r="F178" s="5">
        <v>1586.1</v>
      </c>
      <c r="G178" s="13" t="s">
        <v>114</v>
      </c>
      <c r="H178" s="12">
        <f t="shared" si="2"/>
        <v>-1586.1</v>
      </c>
    </row>
    <row r="179" spans="1:8">
      <c r="A179" s="14">
        <v>174</v>
      </c>
      <c r="B179" s="9">
        <v>45709</v>
      </c>
      <c r="C179" s="10" t="s">
        <v>113</v>
      </c>
      <c r="D179" s="10" t="s">
        <v>15</v>
      </c>
      <c r="E179" s="11" t="s">
        <v>61</v>
      </c>
      <c r="F179" s="5">
        <v>1286.76</v>
      </c>
      <c r="G179" s="13" t="s">
        <v>114</v>
      </c>
      <c r="H179" s="12">
        <f t="shared" si="2"/>
        <v>-1286.76</v>
      </c>
    </row>
    <row r="180" spans="1:8">
      <c r="A180" s="14">
        <v>175</v>
      </c>
      <c r="B180" s="9">
        <v>45709</v>
      </c>
      <c r="C180" s="10" t="s">
        <v>113</v>
      </c>
      <c r="D180" s="10" t="s">
        <v>14</v>
      </c>
      <c r="E180" s="11" t="s">
        <v>46</v>
      </c>
      <c r="F180" s="5">
        <v>431.21</v>
      </c>
      <c r="G180" s="13" t="s">
        <v>114</v>
      </c>
      <c r="H180" s="12">
        <f t="shared" si="2"/>
        <v>-431.21</v>
      </c>
    </row>
    <row r="181" spans="1:8">
      <c r="A181" s="14">
        <v>176</v>
      </c>
      <c r="B181" s="9">
        <v>45709</v>
      </c>
      <c r="C181" s="10" t="s">
        <v>113</v>
      </c>
      <c r="D181" s="10" t="s">
        <v>17</v>
      </c>
      <c r="E181" s="11" t="s">
        <v>36</v>
      </c>
      <c r="F181" s="5">
        <v>457.5</v>
      </c>
      <c r="G181" s="13" t="s">
        <v>114</v>
      </c>
      <c r="H181" s="12">
        <f t="shared" si="2"/>
        <v>-457.5</v>
      </c>
    </row>
    <row r="182" spans="1:8">
      <c r="A182" s="14">
        <v>177</v>
      </c>
      <c r="B182" s="9">
        <v>45710</v>
      </c>
      <c r="C182" s="10" t="s">
        <v>113</v>
      </c>
      <c r="D182" s="10" t="s">
        <v>9</v>
      </c>
      <c r="E182" s="11" t="s">
        <v>21</v>
      </c>
      <c r="F182" s="5">
        <v>862.83</v>
      </c>
      <c r="G182" s="13" t="s">
        <v>114</v>
      </c>
      <c r="H182" s="12">
        <f t="shared" si="2"/>
        <v>-862.83</v>
      </c>
    </row>
    <row r="183" spans="1:8">
      <c r="A183" s="14">
        <v>178</v>
      </c>
      <c r="B183" s="9">
        <v>45711</v>
      </c>
      <c r="C183" s="10" t="s">
        <v>113</v>
      </c>
      <c r="D183" s="10" t="s">
        <v>14</v>
      </c>
      <c r="E183" s="11" t="s">
        <v>40</v>
      </c>
      <c r="F183" s="5">
        <v>9216.27</v>
      </c>
      <c r="G183" s="13" t="s">
        <v>114</v>
      </c>
      <c r="H183" s="12">
        <f t="shared" si="2"/>
        <v>-9216.27</v>
      </c>
    </row>
    <row r="184" spans="1:8">
      <c r="A184" s="14">
        <v>179</v>
      </c>
      <c r="B184" s="9">
        <v>45711</v>
      </c>
      <c r="C184" s="10" t="s">
        <v>113</v>
      </c>
      <c r="D184" s="10" t="s">
        <v>10</v>
      </c>
      <c r="E184" s="11" t="s">
        <v>19</v>
      </c>
      <c r="F184" s="5">
        <v>10154.11</v>
      </c>
      <c r="G184" s="13" t="s">
        <v>114</v>
      </c>
      <c r="H184" s="12">
        <f t="shared" si="2"/>
        <v>-10154.11</v>
      </c>
    </row>
    <row r="185" spans="1:8">
      <c r="A185" s="14">
        <v>180</v>
      </c>
      <c r="B185" s="9">
        <v>45711</v>
      </c>
      <c r="C185" s="10" t="s">
        <v>113</v>
      </c>
      <c r="D185" s="10" t="s">
        <v>16</v>
      </c>
      <c r="E185" s="11" t="s">
        <v>39</v>
      </c>
      <c r="F185" s="5">
        <v>861.36</v>
      </c>
      <c r="G185" s="13" t="s">
        <v>114</v>
      </c>
      <c r="H185" s="12">
        <f t="shared" si="2"/>
        <v>-861.36</v>
      </c>
    </row>
    <row r="186" spans="1:8">
      <c r="A186" s="14">
        <v>181</v>
      </c>
      <c r="B186" s="9">
        <v>45712</v>
      </c>
      <c r="C186" s="10" t="s">
        <v>113</v>
      </c>
      <c r="D186" s="10" t="s">
        <v>15</v>
      </c>
      <c r="E186" s="11" t="s">
        <v>61</v>
      </c>
      <c r="F186" s="5">
        <v>1269.81</v>
      </c>
      <c r="G186" s="13" t="s">
        <v>114</v>
      </c>
      <c r="H186" s="12">
        <f t="shared" si="2"/>
        <v>-1269.81</v>
      </c>
    </row>
    <row r="187" spans="1:8">
      <c r="A187" s="14">
        <v>182</v>
      </c>
      <c r="B187" s="9">
        <v>45712</v>
      </c>
      <c r="C187" s="10" t="s">
        <v>113</v>
      </c>
      <c r="D187" s="10" t="s">
        <v>15</v>
      </c>
      <c r="E187" s="11" t="s">
        <v>43</v>
      </c>
      <c r="F187" s="5">
        <v>626.53</v>
      </c>
      <c r="G187" s="13" t="s">
        <v>114</v>
      </c>
      <c r="H187" s="12">
        <f t="shared" si="2"/>
        <v>-626.53</v>
      </c>
    </row>
    <row r="188" spans="1:8">
      <c r="A188" s="14">
        <v>183</v>
      </c>
      <c r="B188" s="9">
        <v>45712</v>
      </c>
      <c r="C188" s="10" t="s">
        <v>113</v>
      </c>
      <c r="D188" s="10" t="s">
        <v>15</v>
      </c>
      <c r="E188" s="11" t="s">
        <v>55</v>
      </c>
      <c r="F188" s="5">
        <v>3601.5</v>
      </c>
      <c r="G188" s="13" t="s">
        <v>114</v>
      </c>
      <c r="H188" s="12">
        <f t="shared" si="2"/>
        <v>-3601.5</v>
      </c>
    </row>
    <row r="189" spans="1:8">
      <c r="A189" s="14">
        <v>184</v>
      </c>
      <c r="B189" s="9">
        <v>45712</v>
      </c>
      <c r="C189" s="10" t="s">
        <v>113</v>
      </c>
      <c r="D189" s="10" t="s">
        <v>14</v>
      </c>
      <c r="E189" s="11" t="s">
        <v>40</v>
      </c>
      <c r="F189" s="5">
        <v>11501.14</v>
      </c>
      <c r="G189" s="13" t="s">
        <v>114</v>
      </c>
      <c r="H189" s="12">
        <f t="shared" si="2"/>
        <v>-11501.14</v>
      </c>
    </row>
    <row r="190" spans="1:8">
      <c r="A190" s="14">
        <v>185</v>
      </c>
      <c r="B190" s="9">
        <v>45713</v>
      </c>
      <c r="C190" s="10" t="s">
        <v>113</v>
      </c>
      <c r="D190" s="10" t="s">
        <v>17</v>
      </c>
      <c r="E190" s="11" t="s">
        <v>36</v>
      </c>
      <c r="F190" s="5">
        <v>569.92999999999995</v>
      </c>
      <c r="G190" s="13" t="s">
        <v>114</v>
      </c>
      <c r="H190" s="12">
        <f t="shared" si="2"/>
        <v>-569.92999999999995</v>
      </c>
    </row>
    <row r="191" spans="1:8">
      <c r="A191" s="14">
        <v>186</v>
      </c>
      <c r="B191" s="9">
        <v>45713</v>
      </c>
      <c r="C191" s="10" t="s">
        <v>113</v>
      </c>
      <c r="D191" s="10" t="s">
        <v>15</v>
      </c>
      <c r="E191" s="11" t="s">
        <v>8</v>
      </c>
      <c r="F191" s="5">
        <v>6369.62</v>
      </c>
      <c r="G191" s="13" t="s">
        <v>114</v>
      </c>
      <c r="H191" s="12">
        <f t="shared" si="2"/>
        <v>-6369.62</v>
      </c>
    </row>
    <row r="192" spans="1:8">
      <c r="A192" s="14">
        <v>187</v>
      </c>
      <c r="B192" s="9">
        <v>45713</v>
      </c>
      <c r="C192" s="10" t="s">
        <v>113</v>
      </c>
      <c r="D192" s="10" t="s">
        <v>15</v>
      </c>
      <c r="E192" s="11" t="s">
        <v>61</v>
      </c>
      <c r="F192" s="5">
        <v>691.05</v>
      </c>
      <c r="G192" s="13" t="s">
        <v>114</v>
      </c>
      <c r="H192" s="12">
        <f t="shared" si="2"/>
        <v>-691.05</v>
      </c>
    </row>
    <row r="193" spans="1:8">
      <c r="A193" s="14">
        <v>188</v>
      </c>
      <c r="B193" s="9">
        <v>45713</v>
      </c>
      <c r="C193" s="10" t="s">
        <v>113</v>
      </c>
      <c r="D193" s="10" t="s">
        <v>15</v>
      </c>
      <c r="E193" s="11" t="s">
        <v>8</v>
      </c>
      <c r="F193" s="5">
        <v>7253.88</v>
      </c>
      <c r="G193" s="13" t="s">
        <v>114</v>
      </c>
      <c r="H193" s="12">
        <f t="shared" si="2"/>
        <v>-7253.88</v>
      </c>
    </row>
    <row r="194" spans="1:8">
      <c r="A194" s="14">
        <v>189</v>
      </c>
      <c r="B194" s="9">
        <v>45714</v>
      </c>
      <c r="C194" s="10" t="s">
        <v>113</v>
      </c>
      <c r="D194" s="10" t="s">
        <v>17</v>
      </c>
      <c r="E194" s="11" t="s">
        <v>25</v>
      </c>
      <c r="F194" s="5">
        <v>3731.2</v>
      </c>
      <c r="G194" s="13" t="s">
        <v>114</v>
      </c>
      <c r="H194" s="12">
        <f t="shared" si="2"/>
        <v>-3731.2</v>
      </c>
    </row>
    <row r="195" spans="1:8">
      <c r="A195" s="14">
        <v>190</v>
      </c>
      <c r="B195" s="9">
        <v>45714</v>
      </c>
      <c r="C195" s="10" t="s">
        <v>113</v>
      </c>
      <c r="D195" s="10" t="s">
        <v>17</v>
      </c>
      <c r="E195" s="11" t="s">
        <v>36</v>
      </c>
      <c r="F195" s="5">
        <v>1643.16</v>
      </c>
      <c r="G195" s="13" t="s">
        <v>114</v>
      </c>
      <c r="H195" s="12">
        <f t="shared" si="2"/>
        <v>-1643.16</v>
      </c>
    </row>
    <row r="196" spans="1:8">
      <c r="A196" s="14">
        <v>191</v>
      </c>
      <c r="B196" s="9">
        <v>45714</v>
      </c>
      <c r="C196" s="10" t="s">
        <v>113</v>
      </c>
      <c r="D196" s="10" t="s">
        <v>9</v>
      </c>
      <c r="E196" s="11" t="s">
        <v>32</v>
      </c>
      <c r="F196" s="5">
        <v>1353.11</v>
      </c>
      <c r="G196" s="13" t="s">
        <v>114</v>
      </c>
      <c r="H196" s="12">
        <f t="shared" si="2"/>
        <v>-1353.11</v>
      </c>
    </row>
    <row r="197" spans="1:8">
      <c r="A197" s="14">
        <v>192</v>
      </c>
      <c r="B197" s="9">
        <v>45715</v>
      </c>
      <c r="C197" s="10" t="s">
        <v>113</v>
      </c>
      <c r="D197" s="10" t="s">
        <v>15</v>
      </c>
      <c r="E197" s="11" t="s">
        <v>26</v>
      </c>
      <c r="F197" s="5">
        <v>2166.11</v>
      </c>
      <c r="G197" s="13" t="s">
        <v>114</v>
      </c>
      <c r="H197" s="12">
        <f t="shared" ref="H197:H260" si="3">IF(C197="Despesa", F197*-1, F197)</f>
        <v>-2166.11</v>
      </c>
    </row>
    <row r="198" spans="1:8">
      <c r="A198" s="14">
        <v>193</v>
      </c>
      <c r="B198" s="9">
        <v>45715</v>
      </c>
      <c r="C198" s="10" t="s">
        <v>113</v>
      </c>
      <c r="D198" s="10" t="s">
        <v>14</v>
      </c>
      <c r="E198" s="11" t="s">
        <v>64</v>
      </c>
      <c r="F198" s="5">
        <v>1021.01</v>
      </c>
      <c r="G198" s="13" t="s">
        <v>114</v>
      </c>
      <c r="H198" s="12">
        <f t="shared" si="3"/>
        <v>-1021.01</v>
      </c>
    </row>
    <row r="199" spans="1:8">
      <c r="A199" s="14">
        <v>194</v>
      </c>
      <c r="B199" s="9">
        <v>45715</v>
      </c>
      <c r="C199" s="10" t="s">
        <v>113</v>
      </c>
      <c r="D199" s="10" t="s">
        <v>10</v>
      </c>
      <c r="E199" s="11" t="s">
        <v>30</v>
      </c>
      <c r="F199" s="5">
        <v>4599.24</v>
      </c>
      <c r="G199" s="13" t="s">
        <v>114</v>
      </c>
      <c r="H199" s="12">
        <f t="shared" si="3"/>
        <v>-4599.24</v>
      </c>
    </row>
    <row r="200" spans="1:8">
      <c r="A200" s="14">
        <v>195</v>
      </c>
      <c r="B200" s="9">
        <v>45715</v>
      </c>
      <c r="C200" s="10" t="s">
        <v>113</v>
      </c>
      <c r="D200" s="10" t="s">
        <v>16</v>
      </c>
      <c r="E200" s="11" t="s">
        <v>57</v>
      </c>
      <c r="F200" s="5">
        <v>817.71</v>
      </c>
      <c r="G200" s="13" t="s">
        <v>114</v>
      </c>
      <c r="H200" s="12">
        <f t="shared" si="3"/>
        <v>-817.71</v>
      </c>
    </row>
    <row r="201" spans="1:8">
      <c r="A201" s="14">
        <v>196</v>
      </c>
      <c r="B201" s="9">
        <v>45717</v>
      </c>
      <c r="C201" s="10" t="s">
        <v>113</v>
      </c>
      <c r="D201" s="10" t="s">
        <v>16</v>
      </c>
      <c r="E201" s="11" t="s">
        <v>57</v>
      </c>
      <c r="F201" s="5">
        <v>3298.1</v>
      </c>
      <c r="G201" s="13" t="s">
        <v>114</v>
      </c>
      <c r="H201" s="12">
        <f t="shared" si="3"/>
        <v>-3298.1</v>
      </c>
    </row>
    <row r="202" spans="1:8">
      <c r="A202" s="14">
        <v>197</v>
      </c>
      <c r="B202" s="9">
        <v>45718</v>
      </c>
      <c r="C202" s="10" t="s">
        <v>113</v>
      </c>
      <c r="D202" s="10" t="s">
        <v>14</v>
      </c>
      <c r="E202" s="11" t="s">
        <v>69</v>
      </c>
      <c r="F202" s="5">
        <v>994.44</v>
      </c>
      <c r="G202" s="13" t="s">
        <v>114</v>
      </c>
      <c r="H202" s="12">
        <f t="shared" si="3"/>
        <v>-994.44</v>
      </c>
    </row>
    <row r="203" spans="1:8">
      <c r="A203" s="14">
        <v>198</v>
      </c>
      <c r="B203" s="9">
        <v>45718</v>
      </c>
      <c r="C203" s="10" t="s">
        <v>113</v>
      </c>
      <c r="D203" s="10" t="s">
        <v>15</v>
      </c>
      <c r="E203" s="11" t="s">
        <v>61</v>
      </c>
      <c r="F203" s="5">
        <v>1273.49</v>
      </c>
      <c r="G203" s="13" t="s">
        <v>114</v>
      </c>
      <c r="H203" s="12">
        <f t="shared" si="3"/>
        <v>-1273.49</v>
      </c>
    </row>
    <row r="204" spans="1:8">
      <c r="A204" s="14">
        <v>199</v>
      </c>
      <c r="B204" s="9">
        <v>45718</v>
      </c>
      <c r="C204" s="10" t="s">
        <v>113</v>
      </c>
      <c r="D204" s="10" t="s">
        <v>15</v>
      </c>
      <c r="E204" s="11" t="s">
        <v>55</v>
      </c>
      <c r="F204" s="5">
        <v>1516.09</v>
      </c>
      <c r="G204" s="13" t="s">
        <v>114</v>
      </c>
      <c r="H204" s="12">
        <f t="shared" si="3"/>
        <v>-1516.09</v>
      </c>
    </row>
    <row r="205" spans="1:8">
      <c r="A205" s="14">
        <v>200</v>
      </c>
      <c r="B205" s="9">
        <v>45719</v>
      </c>
      <c r="C205" s="10" t="s">
        <v>113</v>
      </c>
      <c r="D205" s="10" t="s">
        <v>10</v>
      </c>
      <c r="E205" s="11" t="s">
        <v>19</v>
      </c>
      <c r="F205" s="5">
        <v>23077.4</v>
      </c>
      <c r="G205" s="13" t="s">
        <v>114</v>
      </c>
      <c r="H205" s="12">
        <f t="shared" si="3"/>
        <v>-23077.4</v>
      </c>
    </row>
    <row r="206" spans="1:8">
      <c r="A206" s="14">
        <v>201</v>
      </c>
      <c r="B206" s="9">
        <v>45719</v>
      </c>
      <c r="C206" s="10" t="s">
        <v>113</v>
      </c>
      <c r="D206" s="10" t="s">
        <v>10</v>
      </c>
      <c r="E206" s="11" t="s">
        <v>70</v>
      </c>
      <c r="F206" s="5">
        <v>2937.65</v>
      </c>
      <c r="G206" s="13" t="s">
        <v>114</v>
      </c>
      <c r="H206" s="12">
        <f t="shared" si="3"/>
        <v>-2937.65</v>
      </c>
    </row>
    <row r="207" spans="1:8">
      <c r="A207" s="14">
        <v>202</v>
      </c>
      <c r="B207" s="9">
        <v>45719</v>
      </c>
      <c r="C207" s="10" t="s">
        <v>113</v>
      </c>
      <c r="D207" s="10" t="s">
        <v>15</v>
      </c>
      <c r="E207" s="11" t="s">
        <v>43</v>
      </c>
      <c r="F207" s="5">
        <v>1110.19</v>
      </c>
      <c r="G207" s="13" t="s">
        <v>114</v>
      </c>
      <c r="H207" s="12">
        <f t="shared" si="3"/>
        <v>-1110.19</v>
      </c>
    </row>
    <row r="208" spans="1:8">
      <c r="A208" s="14">
        <v>203</v>
      </c>
      <c r="B208" s="9">
        <v>45719</v>
      </c>
      <c r="C208" s="10" t="s">
        <v>113</v>
      </c>
      <c r="D208" s="10" t="s">
        <v>10</v>
      </c>
      <c r="E208" s="11" t="s">
        <v>70</v>
      </c>
      <c r="F208" s="5">
        <v>2420.14</v>
      </c>
      <c r="G208" s="13" t="s">
        <v>114</v>
      </c>
      <c r="H208" s="12">
        <f t="shared" si="3"/>
        <v>-2420.14</v>
      </c>
    </row>
    <row r="209" spans="1:8">
      <c r="A209" s="14">
        <v>204</v>
      </c>
      <c r="B209" s="9">
        <v>45719</v>
      </c>
      <c r="C209" s="10" t="s">
        <v>113</v>
      </c>
      <c r="D209" s="10" t="s">
        <v>15</v>
      </c>
      <c r="E209" s="11" t="s">
        <v>71</v>
      </c>
      <c r="F209" s="5">
        <v>2072.19</v>
      </c>
      <c r="G209" s="13" t="s">
        <v>114</v>
      </c>
      <c r="H209" s="12">
        <f t="shared" si="3"/>
        <v>-2072.19</v>
      </c>
    </row>
    <row r="210" spans="1:8">
      <c r="A210" s="14">
        <v>205</v>
      </c>
      <c r="B210" s="9">
        <v>45720</v>
      </c>
      <c r="C210" s="10" t="s">
        <v>113</v>
      </c>
      <c r="D210" s="10" t="s">
        <v>15</v>
      </c>
      <c r="E210" s="11" t="s">
        <v>26</v>
      </c>
      <c r="F210" s="5">
        <v>1782.04</v>
      </c>
      <c r="G210" s="13" t="s">
        <v>114</v>
      </c>
      <c r="H210" s="12">
        <f t="shared" si="3"/>
        <v>-1782.04</v>
      </c>
    </row>
    <row r="211" spans="1:8">
      <c r="A211" s="14">
        <v>206</v>
      </c>
      <c r="B211" s="9">
        <v>45720</v>
      </c>
      <c r="C211" s="10" t="s">
        <v>113</v>
      </c>
      <c r="D211" s="10" t="s">
        <v>10</v>
      </c>
      <c r="E211" s="11" t="s">
        <v>35</v>
      </c>
      <c r="F211" s="5">
        <v>6008.61</v>
      </c>
      <c r="G211" s="13" t="s">
        <v>114</v>
      </c>
      <c r="H211" s="12">
        <f t="shared" si="3"/>
        <v>-6008.61</v>
      </c>
    </row>
    <row r="212" spans="1:8">
      <c r="A212" s="14">
        <v>207</v>
      </c>
      <c r="B212" s="9">
        <v>45720</v>
      </c>
      <c r="C212" s="10" t="s">
        <v>113</v>
      </c>
      <c r="D212" s="10" t="s">
        <v>17</v>
      </c>
      <c r="E212" s="11" t="s">
        <v>36</v>
      </c>
      <c r="F212" s="5">
        <v>921.21</v>
      </c>
      <c r="G212" s="13" t="s">
        <v>114</v>
      </c>
      <c r="H212" s="12">
        <f t="shared" si="3"/>
        <v>-921.21</v>
      </c>
    </row>
    <row r="213" spans="1:8">
      <c r="A213" s="14">
        <v>208</v>
      </c>
      <c r="B213" s="9">
        <v>45721</v>
      </c>
      <c r="C213" s="10" t="s">
        <v>113</v>
      </c>
      <c r="D213" s="10" t="s">
        <v>14</v>
      </c>
      <c r="E213" s="11" t="s">
        <v>40</v>
      </c>
      <c r="F213" s="5">
        <v>2828.18</v>
      </c>
      <c r="G213" s="13" t="s">
        <v>114</v>
      </c>
      <c r="H213" s="12">
        <f t="shared" si="3"/>
        <v>-2828.18</v>
      </c>
    </row>
    <row r="214" spans="1:8">
      <c r="A214" s="14">
        <v>209</v>
      </c>
      <c r="B214" s="9">
        <v>45721</v>
      </c>
      <c r="C214" s="10" t="s">
        <v>113</v>
      </c>
      <c r="D214" s="10" t="s">
        <v>14</v>
      </c>
      <c r="E214" s="11" t="s">
        <v>58</v>
      </c>
      <c r="F214" s="5">
        <v>259.76</v>
      </c>
      <c r="G214" s="13" t="s">
        <v>114</v>
      </c>
      <c r="H214" s="12">
        <f t="shared" si="3"/>
        <v>-259.76</v>
      </c>
    </row>
    <row r="215" spans="1:8">
      <c r="A215" s="14">
        <v>210</v>
      </c>
      <c r="B215" s="9">
        <v>45721</v>
      </c>
      <c r="C215" s="10" t="s">
        <v>113</v>
      </c>
      <c r="D215" s="10" t="s">
        <v>15</v>
      </c>
      <c r="E215" s="11" t="s">
        <v>55</v>
      </c>
      <c r="F215" s="5">
        <v>3647.95</v>
      </c>
      <c r="G215" s="13" t="s">
        <v>114</v>
      </c>
      <c r="H215" s="12">
        <f t="shared" si="3"/>
        <v>-3647.95</v>
      </c>
    </row>
    <row r="216" spans="1:8">
      <c r="A216" s="14">
        <v>211</v>
      </c>
      <c r="B216" s="9">
        <v>45722</v>
      </c>
      <c r="C216" s="10" t="s">
        <v>113</v>
      </c>
      <c r="D216" s="10" t="s">
        <v>10</v>
      </c>
      <c r="E216" s="11" t="s">
        <v>19</v>
      </c>
      <c r="F216" s="5">
        <v>18394.05</v>
      </c>
      <c r="G216" s="13" t="s">
        <v>114</v>
      </c>
      <c r="H216" s="12">
        <f t="shared" si="3"/>
        <v>-18394.05</v>
      </c>
    </row>
    <row r="217" spans="1:8">
      <c r="A217" s="14">
        <v>212</v>
      </c>
      <c r="B217" s="9">
        <v>45722</v>
      </c>
      <c r="C217" s="10" t="s">
        <v>113</v>
      </c>
      <c r="D217" s="10" t="s">
        <v>14</v>
      </c>
      <c r="E217" s="11" t="s">
        <v>34</v>
      </c>
      <c r="F217" s="5">
        <v>2733.5</v>
      </c>
      <c r="G217" s="13" t="s">
        <v>114</v>
      </c>
      <c r="H217" s="12">
        <f t="shared" si="3"/>
        <v>-2733.5</v>
      </c>
    </row>
    <row r="218" spans="1:8">
      <c r="A218" s="14">
        <v>213</v>
      </c>
      <c r="B218" s="9">
        <v>45722</v>
      </c>
      <c r="C218" s="10" t="s">
        <v>113</v>
      </c>
      <c r="D218" s="10" t="s">
        <v>14</v>
      </c>
      <c r="E218" s="11" t="s">
        <v>23</v>
      </c>
      <c r="F218" s="5">
        <v>3432.61</v>
      </c>
      <c r="G218" s="13" t="s">
        <v>114</v>
      </c>
      <c r="H218" s="12">
        <f t="shared" si="3"/>
        <v>-3432.61</v>
      </c>
    </row>
    <row r="219" spans="1:8">
      <c r="A219" s="14">
        <v>214</v>
      </c>
      <c r="B219" s="9">
        <v>45723</v>
      </c>
      <c r="C219" s="10" t="s">
        <v>113</v>
      </c>
      <c r="D219" s="10" t="s">
        <v>10</v>
      </c>
      <c r="E219" s="11" t="s">
        <v>30</v>
      </c>
      <c r="F219" s="5">
        <v>3903.8</v>
      </c>
      <c r="G219" s="13" t="s">
        <v>114</v>
      </c>
      <c r="H219" s="12">
        <f t="shared" si="3"/>
        <v>-3903.8</v>
      </c>
    </row>
    <row r="220" spans="1:8">
      <c r="A220" s="14">
        <v>215</v>
      </c>
      <c r="B220" s="9">
        <v>45723</v>
      </c>
      <c r="C220" s="10" t="s">
        <v>113</v>
      </c>
      <c r="D220" s="10" t="s">
        <v>14</v>
      </c>
      <c r="E220" s="11" t="s">
        <v>40</v>
      </c>
      <c r="F220" s="5">
        <v>12497.26</v>
      </c>
      <c r="G220" s="13" t="s">
        <v>114</v>
      </c>
      <c r="H220" s="12">
        <f t="shared" si="3"/>
        <v>-12497.26</v>
      </c>
    </row>
    <row r="221" spans="1:8">
      <c r="A221" s="14">
        <v>216</v>
      </c>
      <c r="B221" s="9">
        <v>45723</v>
      </c>
      <c r="C221" s="10" t="s">
        <v>113</v>
      </c>
      <c r="D221" s="10" t="s">
        <v>10</v>
      </c>
      <c r="E221" s="11" t="s">
        <v>24</v>
      </c>
      <c r="F221" s="5">
        <v>6054.05</v>
      </c>
      <c r="G221" s="13" t="s">
        <v>114</v>
      </c>
      <c r="H221" s="12">
        <f t="shared" si="3"/>
        <v>-6054.05</v>
      </c>
    </row>
    <row r="222" spans="1:8">
      <c r="A222" s="14">
        <v>217</v>
      </c>
      <c r="B222" s="9">
        <v>45723</v>
      </c>
      <c r="C222" s="10" t="s">
        <v>113</v>
      </c>
      <c r="D222" s="10" t="s">
        <v>10</v>
      </c>
      <c r="E222" s="11" t="s">
        <v>24</v>
      </c>
      <c r="F222" s="5">
        <v>7866.85</v>
      </c>
      <c r="G222" s="13" t="s">
        <v>114</v>
      </c>
      <c r="H222" s="12">
        <f t="shared" si="3"/>
        <v>-7866.85</v>
      </c>
    </row>
    <row r="223" spans="1:8">
      <c r="A223" s="14">
        <v>218</v>
      </c>
      <c r="B223" s="9">
        <v>45723</v>
      </c>
      <c r="C223" s="10" t="s">
        <v>113</v>
      </c>
      <c r="D223" s="10" t="s">
        <v>9</v>
      </c>
      <c r="E223" s="11" t="s">
        <v>72</v>
      </c>
      <c r="F223" s="5">
        <v>2785.86</v>
      </c>
      <c r="G223" s="13" t="s">
        <v>114</v>
      </c>
      <c r="H223" s="12">
        <f t="shared" si="3"/>
        <v>-2785.86</v>
      </c>
    </row>
    <row r="224" spans="1:8">
      <c r="A224" s="14">
        <v>219</v>
      </c>
      <c r="B224" s="9">
        <v>45723</v>
      </c>
      <c r="C224" s="10" t="s">
        <v>113</v>
      </c>
      <c r="D224" s="10" t="s">
        <v>14</v>
      </c>
      <c r="E224" s="11" t="s">
        <v>74</v>
      </c>
      <c r="F224" s="5">
        <v>1264.53</v>
      </c>
      <c r="G224" s="13" t="s">
        <v>114</v>
      </c>
      <c r="H224" s="12">
        <f t="shared" si="3"/>
        <v>-1264.53</v>
      </c>
    </row>
    <row r="225" spans="1:8">
      <c r="A225" s="14">
        <v>220</v>
      </c>
      <c r="B225" s="9">
        <v>45723</v>
      </c>
      <c r="C225" s="10" t="s">
        <v>113</v>
      </c>
      <c r="D225" s="10" t="s">
        <v>9</v>
      </c>
      <c r="E225" s="11" t="s">
        <v>72</v>
      </c>
      <c r="F225" s="5">
        <v>3637.44</v>
      </c>
      <c r="G225" s="13" t="s">
        <v>114</v>
      </c>
      <c r="H225" s="12">
        <f t="shared" si="3"/>
        <v>-3637.44</v>
      </c>
    </row>
    <row r="226" spans="1:8">
      <c r="A226" s="14">
        <v>221</v>
      </c>
      <c r="B226" s="9">
        <v>45724</v>
      </c>
      <c r="C226" s="10" t="s">
        <v>113</v>
      </c>
      <c r="D226" s="10" t="s">
        <v>14</v>
      </c>
      <c r="E226" s="11" t="s">
        <v>23</v>
      </c>
      <c r="F226" s="5">
        <v>6643.27</v>
      </c>
      <c r="G226" s="13" t="s">
        <v>114</v>
      </c>
      <c r="H226" s="12">
        <f t="shared" si="3"/>
        <v>-6643.27</v>
      </c>
    </row>
    <row r="227" spans="1:8">
      <c r="A227" s="14">
        <v>222</v>
      </c>
      <c r="B227" s="9">
        <v>45724</v>
      </c>
      <c r="C227" s="10" t="s">
        <v>113</v>
      </c>
      <c r="D227" s="10" t="s">
        <v>15</v>
      </c>
      <c r="E227" s="11" t="s">
        <v>37</v>
      </c>
      <c r="F227" s="5">
        <v>328.17</v>
      </c>
      <c r="G227" s="13" t="s">
        <v>114</v>
      </c>
      <c r="H227" s="12">
        <f t="shared" si="3"/>
        <v>-328.17</v>
      </c>
    </row>
    <row r="228" spans="1:8">
      <c r="A228" s="14">
        <v>223</v>
      </c>
      <c r="B228" s="9">
        <v>45724</v>
      </c>
      <c r="C228" s="10" t="s">
        <v>113</v>
      </c>
      <c r="D228" s="10" t="s">
        <v>10</v>
      </c>
      <c r="E228" s="11" t="s">
        <v>30</v>
      </c>
      <c r="F228" s="5">
        <v>4940.3999999999996</v>
      </c>
      <c r="G228" s="13" t="s">
        <v>114</v>
      </c>
      <c r="H228" s="12">
        <f t="shared" si="3"/>
        <v>-4940.3999999999996</v>
      </c>
    </row>
    <row r="229" spans="1:8">
      <c r="A229" s="14">
        <v>224</v>
      </c>
      <c r="B229" s="9">
        <v>45724</v>
      </c>
      <c r="C229" s="10" t="s">
        <v>113</v>
      </c>
      <c r="D229" s="10" t="s">
        <v>10</v>
      </c>
      <c r="E229" s="11" t="s">
        <v>19</v>
      </c>
      <c r="F229" s="5">
        <v>11612.28</v>
      </c>
      <c r="G229" s="13" t="s">
        <v>114</v>
      </c>
      <c r="H229" s="12">
        <f t="shared" si="3"/>
        <v>-11612.28</v>
      </c>
    </row>
    <row r="230" spans="1:8">
      <c r="A230" s="14">
        <v>225</v>
      </c>
      <c r="B230" s="9">
        <v>45724</v>
      </c>
      <c r="C230" s="10" t="s">
        <v>113</v>
      </c>
      <c r="D230" s="10" t="s">
        <v>15</v>
      </c>
      <c r="E230" s="11" t="s">
        <v>7</v>
      </c>
      <c r="F230" s="5">
        <v>1018.8</v>
      </c>
      <c r="G230" s="13" t="s">
        <v>114</v>
      </c>
      <c r="H230" s="12">
        <f t="shared" si="3"/>
        <v>-1018.8</v>
      </c>
    </row>
    <row r="231" spans="1:8">
      <c r="A231" s="14">
        <v>226</v>
      </c>
      <c r="B231" s="9">
        <v>45725</v>
      </c>
      <c r="C231" s="10" t="s">
        <v>113</v>
      </c>
      <c r="D231" s="10" t="s">
        <v>17</v>
      </c>
      <c r="E231" s="11" t="s">
        <v>36</v>
      </c>
      <c r="F231" s="5">
        <v>718.15</v>
      </c>
      <c r="G231" s="13" t="s">
        <v>114</v>
      </c>
      <c r="H231" s="12">
        <f t="shared" si="3"/>
        <v>-718.15</v>
      </c>
    </row>
    <row r="232" spans="1:8">
      <c r="A232" s="14">
        <v>227</v>
      </c>
      <c r="B232" s="9">
        <v>45725</v>
      </c>
      <c r="C232" s="10" t="s">
        <v>113</v>
      </c>
      <c r="D232" s="10" t="s">
        <v>15</v>
      </c>
      <c r="E232" s="11" t="s">
        <v>61</v>
      </c>
      <c r="F232" s="5">
        <v>1552.44</v>
      </c>
      <c r="G232" s="13" t="s">
        <v>114</v>
      </c>
      <c r="H232" s="12">
        <f t="shared" si="3"/>
        <v>-1552.44</v>
      </c>
    </row>
    <row r="233" spans="1:8">
      <c r="A233" s="14">
        <v>228</v>
      </c>
      <c r="B233" s="9">
        <v>45725</v>
      </c>
      <c r="C233" s="10" t="s">
        <v>113</v>
      </c>
      <c r="D233" s="10" t="s">
        <v>15</v>
      </c>
      <c r="E233" s="11" t="s">
        <v>55</v>
      </c>
      <c r="F233" s="5">
        <v>2196.33</v>
      </c>
      <c r="G233" s="13" t="s">
        <v>114</v>
      </c>
      <c r="H233" s="12">
        <f t="shared" si="3"/>
        <v>-2196.33</v>
      </c>
    </row>
    <row r="234" spans="1:8">
      <c r="A234" s="14">
        <v>229</v>
      </c>
      <c r="B234" s="9">
        <v>45726</v>
      </c>
      <c r="C234" s="10" t="s">
        <v>113</v>
      </c>
      <c r="D234" s="10" t="s">
        <v>17</v>
      </c>
      <c r="E234" s="11" t="s">
        <v>36</v>
      </c>
      <c r="F234" s="5">
        <v>793.25</v>
      </c>
      <c r="G234" s="13" t="s">
        <v>114</v>
      </c>
      <c r="H234" s="12">
        <f t="shared" si="3"/>
        <v>-793.25</v>
      </c>
    </row>
    <row r="235" spans="1:8">
      <c r="A235" s="14">
        <v>230</v>
      </c>
      <c r="B235" s="9">
        <v>45726</v>
      </c>
      <c r="C235" s="10" t="s">
        <v>113</v>
      </c>
      <c r="D235" s="10" t="s">
        <v>9</v>
      </c>
      <c r="E235" s="11" t="s">
        <v>38</v>
      </c>
      <c r="F235" s="5">
        <v>9438.52</v>
      </c>
      <c r="G235" s="13" t="s">
        <v>114</v>
      </c>
      <c r="H235" s="12">
        <f t="shared" si="3"/>
        <v>-9438.52</v>
      </c>
    </row>
    <row r="236" spans="1:8">
      <c r="A236" s="14">
        <v>231</v>
      </c>
      <c r="B236" s="9">
        <v>45726</v>
      </c>
      <c r="C236" s="10" t="s">
        <v>113</v>
      </c>
      <c r="D236" s="10" t="s">
        <v>16</v>
      </c>
      <c r="E236" s="11" t="s">
        <v>73</v>
      </c>
      <c r="F236" s="5">
        <v>1878.49</v>
      </c>
      <c r="G236" s="13" t="s">
        <v>114</v>
      </c>
      <c r="H236" s="12">
        <f t="shared" si="3"/>
        <v>-1878.49</v>
      </c>
    </row>
    <row r="237" spans="1:8">
      <c r="A237" s="14">
        <v>232</v>
      </c>
      <c r="B237" s="9">
        <v>45726</v>
      </c>
      <c r="C237" s="10" t="s">
        <v>113</v>
      </c>
      <c r="D237" s="10" t="s">
        <v>14</v>
      </c>
      <c r="E237" s="11" t="s">
        <v>23</v>
      </c>
      <c r="F237" s="5">
        <v>7306.7</v>
      </c>
      <c r="G237" s="13" t="s">
        <v>114</v>
      </c>
      <c r="H237" s="12">
        <f t="shared" si="3"/>
        <v>-7306.7</v>
      </c>
    </row>
    <row r="238" spans="1:8">
      <c r="A238" s="14">
        <v>233</v>
      </c>
      <c r="B238" s="9">
        <v>45726</v>
      </c>
      <c r="C238" s="10" t="s">
        <v>113</v>
      </c>
      <c r="D238" s="10" t="s">
        <v>16</v>
      </c>
      <c r="E238" s="11" t="s">
        <v>28</v>
      </c>
      <c r="F238" s="5">
        <v>6240.56</v>
      </c>
      <c r="G238" s="13" t="s">
        <v>114</v>
      </c>
      <c r="H238" s="12">
        <f t="shared" si="3"/>
        <v>-6240.56</v>
      </c>
    </row>
    <row r="239" spans="1:8">
      <c r="A239" s="14">
        <v>234</v>
      </c>
      <c r="B239" s="9">
        <v>45726</v>
      </c>
      <c r="C239" s="10" t="s">
        <v>113</v>
      </c>
      <c r="D239" s="10" t="s">
        <v>14</v>
      </c>
      <c r="E239" s="11" t="s">
        <v>58</v>
      </c>
      <c r="F239" s="5">
        <v>241.89</v>
      </c>
      <c r="G239" s="13" t="s">
        <v>114</v>
      </c>
      <c r="H239" s="12">
        <f t="shared" si="3"/>
        <v>-241.89</v>
      </c>
    </row>
    <row r="240" spans="1:8">
      <c r="A240" s="14">
        <v>235</v>
      </c>
      <c r="B240" s="9">
        <v>45727</v>
      </c>
      <c r="C240" s="10" t="s">
        <v>113</v>
      </c>
      <c r="D240" s="10" t="s">
        <v>15</v>
      </c>
      <c r="E240" s="11" t="s">
        <v>37</v>
      </c>
      <c r="F240" s="5">
        <v>410.7</v>
      </c>
      <c r="G240" s="13" t="s">
        <v>114</v>
      </c>
      <c r="H240" s="12">
        <f t="shared" si="3"/>
        <v>-410.7</v>
      </c>
    </row>
    <row r="241" spans="1:8">
      <c r="A241" s="14">
        <v>236</v>
      </c>
      <c r="B241" s="9">
        <v>45728</v>
      </c>
      <c r="C241" s="10" t="s">
        <v>113</v>
      </c>
      <c r="D241" s="10" t="s">
        <v>14</v>
      </c>
      <c r="E241" s="11" t="s">
        <v>29</v>
      </c>
      <c r="F241" s="5">
        <v>960.98</v>
      </c>
      <c r="G241" s="13" t="s">
        <v>114</v>
      </c>
      <c r="H241" s="12">
        <f t="shared" si="3"/>
        <v>-960.98</v>
      </c>
    </row>
    <row r="242" spans="1:8">
      <c r="A242" s="14">
        <v>237</v>
      </c>
      <c r="B242" s="9">
        <v>45728</v>
      </c>
      <c r="C242" s="10" t="s">
        <v>113</v>
      </c>
      <c r="D242" s="10" t="s">
        <v>14</v>
      </c>
      <c r="E242" s="11" t="s">
        <v>58</v>
      </c>
      <c r="F242" s="5">
        <v>94.95</v>
      </c>
      <c r="G242" s="13" t="s">
        <v>114</v>
      </c>
      <c r="H242" s="12">
        <f t="shared" si="3"/>
        <v>-94.95</v>
      </c>
    </row>
    <row r="243" spans="1:8">
      <c r="A243" s="14">
        <v>238</v>
      </c>
      <c r="B243" s="9">
        <v>45728</v>
      </c>
      <c r="C243" s="10" t="s">
        <v>113</v>
      </c>
      <c r="D243" s="10" t="s">
        <v>17</v>
      </c>
      <c r="E243" s="11" t="s">
        <v>20</v>
      </c>
      <c r="F243" s="5">
        <v>268.70999999999998</v>
      </c>
      <c r="G243" s="13" t="s">
        <v>114</v>
      </c>
      <c r="H243" s="12">
        <f t="shared" si="3"/>
        <v>-268.70999999999998</v>
      </c>
    </row>
    <row r="244" spans="1:8">
      <c r="A244" s="14">
        <v>239</v>
      </c>
      <c r="B244" s="9">
        <v>45728</v>
      </c>
      <c r="C244" s="10" t="s">
        <v>113</v>
      </c>
      <c r="D244" s="10" t="s">
        <v>14</v>
      </c>
      <c r="E244" s="11" t="s">
        <v>52</v>
      </c>
      <c r="F244" s="5">
        <v>996.44</v>
      </c>
      <c r="G244" s="13" t="s">
        <v>114</v>
      </c>
      <c r="H244" s="12">
        <f t="shared" si="3"/>
        <v>-996.44</v>
      </c>
    </row>
    <row r="245" spans="1:8">
      <c r="A245" s="14">
        <v>240</v>
      </c>
      <c r="B245" s="9">
        <v>45729</v>
      </c>
      <c r="C245" s="10" t="s">
        <v>113</v>
      </c>
      <c r="D245" s="10" t="s">
        <v>15</v>
      </c>
      <c r="E245" s="11" t="s">
        <v>43</v>
      </c>
      <c r="F245" s="5">
        <v>763.06</v>
      </c>
      <c r="G245" s="13" t="s">
        <v>114</v>
      </c>
      <c r="H245" s="12">
        <f t="shared" si="3"/>
        <v>-763.06</v>
      </c>
    </row>
    <row r="246" spans="1:8">
      <c r="A246" s="14">
        <v>241</v>
      </c>
      <c r="B246" s="9">
        <v>45729</v>
      </c>
      <c r="C246" s="10" t="s">
        <v>113</v>
      </c>
      <c r="D246" s="10" t="s">
        <v>14</v>
      </c>
      <c r="E246" s="11" t="s">
        <v>29</v>
      </c>
      <c r="F246" s="5">
        <v>2413.12</v>
      </c>
      <c r="G246" s="13" t="s">
        <v>114</v>
      </c>
      <c r="H246" s="12">
        <f t="shared" si="3"/>
        <v>-2413.12</v>
      </c>
    </row>
    <row r="247" spans="1:8">
      <c r="A247" s="14">
        <v>242</v>
      </c>
      <c r="B247" s="9">
        <v>45729</v>
      </c>
      <c r="C247" s="10" t="s">
        <v>113</v>
      </c>
      <c r="D247" s="10" t="s">
        <v>14</v>
      </c>
      <c r="E247" s="11" t="s">
        <v>74</v>
      </c>
      <c r="F247" s="5">
        <v>2172.52</v>
      </c>
      <c r="G247" s="13" t="s">
        <v>114</v>
      </c>
      <c r="H247" s="12">
        <f t="shared" si="3"/>
        <v>-2172.52</v>
      </c>
    </row>
    <row r="248" spans="1:8">
      <c r="A248" s="14">
        <v>243</v>
      </c>
      <c r="B248" s="9">
        <v>45729</v>
      </c>
      <c r="C248" s="10" t="s">
        <v>113</v>
      </c>
      <c r="D248" s="10" t="s">
        <v>15</v>
      </c>
      <c r="E248" s="11" t="s">
        <v>49</v>
      </c>
      <c r="F248" s="5">
        <v>2358.2800000000002</v>
      </c>
      <c r="G248" s="13" t="s">
        <v>114</v>
      </c>
      <c r="H248" s="12">
        <f t="shared" si="3"/>
        <v>-2358.2800000000002</v>
      </c>
    </row>
    <row r="249" spans="1:8">
      <c r="A249" s="14">
        <v>244</v>
      </c>
      <c r="B249" s="9">
        <v>45730</v>
      </c>
      <c r="C249" s="10" t="s">
        <v>113</v>
      </c>
      <c r="D249" s="10" t="s">
        <v>16</v>
      </c>
      <c r="E249" s="11" t="s">
        <v>73</v>
      </c>
      <c r="F249" s="5">
        <v>431.56</v>
      </c>
      <c r="G249" s="13" t="s">
        <v>114</v>
      </c>
      <c r="H249" s="12">
        <f t="shared" si="3"/>
        <v>-431.56</v>
      </c>
    </row>
    <row r="250" spans="1:8">
      <c r="A250" s="14">
        <v>245</v>
      </c>
      <c r="B250" s="9">
        <v>45730</v>
      </c>
      <c r="C250" s="10" t="s">
        <v>113</v>
      </c>
      <c r="D250" s="10" t="s">
        <v>15</v>
      </c>
      <c r="E250" s="11" t="s">
        <v>26</v>
      </c>
      <c r="F250" s="5">
        <v>5786.34</v>
      </c>
      <c r="G250" s="13" t="s">
        <v>114</v>
      </c>
      <c r="H250" s="12">
        <f t="shared" si="3"/>
        <v>-5786.34</v>
      </c>
    </row>
    <row r="251" spans="1:8">
      <c r="A251" s="14">
        <v>246</v>
      </c>
      <c r="B251" s="9">
        <v>45730</v>
      </c>
      <c r="C251" s="10" t="s">
        <v>113</v>
      </c>
      <c r="D251" s="10" t="s">
        <v>17</v>
      </c>
      <c r="E251" s="11" t="s">
        <v>36</v>
      </c>
      <c r="F251" s="5">
        <v>1559.14</v>
      </c>
      <c r="G251" s="13" t="s">
        <v>114</v>
      </c>
      <c r="H251" s="12">
        <f t="shared" si="3"/>
        <v>-1559.14</v>
      </c>
    </row>
    <row r="252" spans="1:8">
      <c r="A252" s="14">
        <v>247</v>
      </c>
      <c r="B252" s="9">
        <v>45730</v>
      </c>
      <c r="C252" s="10" t="s">
        <v>113</v>
      </c>
      <c r="D252" s="10" t="s">
        <v>17</v>
      </c>
      <c r="E252" s="11" t="s">
        <v>31</v>
      </c>
      <c r="F252" s="5">
        <v>4600.8599999999997</v>
      </c>
      <c r="G252" s="13" t="s">
        <v>114</v>
      </c>
      <c r="H252" s="12">
        <f t="shared" si="3"/>
        <v>-4600.8599999999997</v>
      </c>
    </row>
    <row r="253" spans="1:8">
      <c r="A253" s="14">
        <v>248</v>
      </c>
      <c r="B253" s="9">
        <v>45731</v>
      </c>
      <c r="C253" s="10" t="s">
        <v>113</v>
      </c>
      <c r="D253" s="10" t="s">
        <v>16</v>
      </c>
      <c r="E253" s="11" t="s">
        <v>22</v>
      </c>
      <c r="F253" s="5">
        <v>3675.12</v>
      </c>
      <c r="G253" s="13" t="s">
        <v>114</v>
      </c>
      <c r="H253" s="12">
        <f t="shared" si="3"/>
        <v>-3675.12</v>
      </c>
    </row>
    <row r="254" spans="1:8">
      <c r="A254" s="14">
        <v>249</v>
      </c>
      <c r="B254" s="9">
        <v>45731</v>
      </c>
      <c r="C254" s="10" t="s">
        <v>113</v>
      </c>
      <c r="D254" s="10" t="s">
        <v>15</v>
      </c>
      <c r="E254" s="11" t="s">
        <v>37</v>
      </c>
      <c r="F254" s="5">
        <v>1074.6500000000001</v>
      </c>
      <c r="G254" s="13" t="s">
        <v>114</v>
      </c>
      <c r="H254" s="12">
        <f t="shared" si="3"/>
        <v>-1074.6500000000001</v>
      </c>
    </row>
    <row r="255" spans="1:8">
      <c r="A255" s="14">
        <v>250</v>
      </c>
      <c r="B255" s="9">
        <v>45733</v>
      </c>
      <c r="C255" s="10" t="s">
        <v>113</v>
      </c>
      <c r="D255" s="10" t="s">
        <v>10</v>
      </c>
      <c r="E255" s="11" t="s">
        <v>59</v>
      </c>
      <c r="F255" s="5">
        <v>4078.26</v>
      </c>
      <c r="G255" s="13" t="s">
        <v>114</v>
      </c>
      <c r="H255" s="12">
        <f t="shared" si="3"/>
        <v>-4078.26</v>
      </c>
    </row>
    <row r="256" spans="1:8">
      <c r="A256" s="14">
        <v>251</v>
      </c>
      <c r="B256" s="9">
        <v>45733</v>
      </c>
      <c r="C256" s="10" t="s">
        <v>113</v>
      </c>
      <c r="D256" s="10" t="s">
        <v>15</v>
      </c>
      <c r="E256" s="11" t="s">
        <v>43</v>
      </c>
      <c r="F256" s="5">
        <v>1122.47</v>
      </c>
      <c r="G256" s="13" t="s">
        <v>114</v>
      </c>
      <c r="H256" s="12">
        <f t="shared" si="3"/>
        <v>-1122.47</v>
      </c>
    </row>
    <row r="257" spans="1:8">
      <c r="A257" s="14">
        <v>252</v>
      </c>
      <c r="B257" s="9">
        <v>45734</v>
      </c>
      <c r="C257" s="10" t="s">
        <v>113</v>
      </c>
      <c r="D257" s="10" t="s">
        <v>15</v>
      </c>
      <c r="E257" s="11" t="s">
        <v>71</v>
      </c>
      <c r="F257" s="5">
        <v>1136.0999999999999</v>
      </c>
      <c r="G257" s="13" t="s">
        <v>114</v>
      </c>
      <c r="H257" s="12">
        <f t="shared" si="3"/>
        <v>-1136.0999999999999</v>
      </c>
    </row>
    <row r="258" spans="1:8">
      <c r="A258" s="14">
        <v>253</v>
      </c>
      <c r="B258" s="9">
        <v>45734</v>
      </c>
      <c r="C258" s="10" t="s">
        <v>113</v>
      </c>
      <c r="D258" s="10" t="s">
        <v>15</v>
      </c>
      <c r="E258" s="11" t="s">
        <v>26</v>
      </c>
      <c r="F258" s="5">
        <v>3035.52</v>
      </c>
      <c r="G258" s="13" t="s">
        <v>114</v>
      </c>
      <c r="H258" s="12">
        <f t="shared" si="3"/>
        <v>-3035.52</v>
      </c>
    </row>
    <row r="259" spans="1:8">
      <c r="A259" s="14">
        <v>254</v>
      </c>
      <c r="B259" s="9">
        <v>45734</v>
      </c>
      <c r="C259" s="10" t="s">
        <v>113</v>
      </c>
      <c r="D259" s="10" t="s">
        <v>14</v>
      </c>
      <c r="E259" s="11" t="s">
        <v>46</v>
      </c>
      <c r="F259" s="5">
        <v>812.42</v>
      </c>
      <c r="G259" s="13" t="s">
        <v>114</v>
      </c>
      <c r="H259" s="12">
        <f t="shared" si="3"/>
        <v>-812.42</v>
      </c>
    </row>
    <row r="260" spans="1:8">
      <c r="A260" s="14">
        <v>255</v>
      </c>
      <c r="B260" s="9">
        <v>45734</v>
      </c>
      <c r="C260" s="10" t="s">
        <v>113</v>
      </c>
      <c r="D260" s="10" t="s">
        <v>9</v>
      </c>
      <c r="E260" s="11" t="s">
        <v>67</v>
      </c>
      <c r="F260" s="5">
        <v>1515.28</v>
      </c>
      <c r="G260" s="13" t="s">
        <v>114</v>
      </c>
      <c r="H260" s="12">
        <f t="shared" si="3"/>
        <v>-1515.28</v>
      </c>
    </row>
    <row r="261" spans="1:8">
      <c r="A261" s="14">
        <v>256</v>
      </c>
      <c r="B261" s="9">
        <v>45734</v>
      </c>
      <c r="C261" s="10" t="s">
        <v>113</v>
      </c>
      <c r="D261" s="10" t="s">
        <v>15</v>
      </c>
      <c r="E261" s="11" t="s">
        <v>55</v>
      </c>
      <c r="F261" s="5">
        <v>977.35</v>
      </c>
      <c r="G261" s="13" t="s">
        <v>114</v>
      </c>
      <c r="H261" s="12">
        <f t="shared" ref="H261:H324" si="4">IF(C261="Despesa", F261*-1, F261)</f>
        <v>-977.35</v>
      </c>
    </row>
    <row r="262" spans="1:8">
      <c r="A262" s="14">
        <v>257</v>
      </c>
      <c r="B262" s="9">
        <v>45735</v>
      </c>
      <c r="C262" s="10" t="s">
        <v>113</v>
      </c>
      <c r="D262" s="10" t="s">
        <v>15</v>
      </c>
      <c r="E262" s="11" t="s">
        <v>26</v>
      </c>
      <c r="F262" s="5">
        <v>3574.72</v>
      </c>
      <c r="G262" s="13" t="s">
        <v>114</v>
      </c>
      <c r="H262" s="12">
        <f t="shared" si="4"/>
        <v>-3574.72</v>
      </c>
    </row>
    <row r="263" spans="1:8">
      <c r="A263" s="14">
        <v>258</v>
      </c>
      <c r="B263" s="9">
        <v>45735</v>
      </c>
      <c r="C263" s="10" t="s">
        <v>113</v>
      </c>
      <c r="D263" s="10" t="s">
        <v>16</v>
      </c>
      <c r="E263" s="11" t="s">
        <v>63</v>
      </c>
      <c r="F263" s="5">
        <v>2698.41</v>
      </c>
      <c r="G263" s="13" t="s">
        <v>114</v>
      </c>
      <c r="H263" s="12">
        <f t="shared" si="4"/>
        <v>-2698.41</v>
      </c>
    </row>
    <row r="264" spans="1:8">
      <c r="A264" s="14">
        <v>259</v>
      </c>
      <c r="B264" s="9">
        <v>45736</v>
      </c>
      <c r="C264" s="10" t="s">
        <v>113</v>
      </c>
      <c r="D264" s="10" t="s">
        <v>14</v>
      </c>
      <c r="E264" s="11" t="s">
        <v>40</v>
      </c>
      <c r="F264" s="5">
        <v>9999.43</v>
      </c>
      <c r="G264" s="13" t="s">
        <v>114</v>
      </c>
      <c r="H264" s="12">
        <f t="shared" si="4"/>
        <v>-9999.43</v>
      </c>
    </row>
    <row r="265" spans="1:8">
      <c r="A265" s="14">
        <v>260</v>
      </c>
      <c r="B265" s="9">
        <v>45737</v>
      </c>
      <c r="C265" s="10" t="s">
        <v>113</v>
      </c>
      <c r="D265" s="10" t="s">
        <v>10</v>
      </c>
      <c r="E265" s="11" t="s">
        <v>30</v>
      </c>
      <c r="F265" s="5">
        <v>5422.66</v>
      </c>
      <c r="G265" s="13" t="s">
        <v>114</v>
      </c>
      <c r="H265" s="12">
        <f t="shared" si="4"/>
        <v>-5422.66</v>
      </c>
    </row>
    <row r="266" spans="1:8">
      <c r="A266" s="14">
        <v>261</v>
      </c>
      <c r="B266" s="9">
        <v>45737</v>
      </c>
      <c r="C266" s="10" t="s">
        <v>113</v>
      </c>
      <c r="D266" s="10" t="s">
        <v>15</v>
      </c>
      <c r="E266" s="11" t="s">
        <v>26</v>
      </c>
      <c r="F266" s="5">
        <v>2502.39</v>
      </c>
      <c r="G266" s="13" t="s">
        <v>114</v>
      </c>
      <c r="H266" s="12">
        <f t="shared" si="4"/>
        <v>-2502.39</v>
      </c>
    </row>
    <row r="267" spans="1:8">
      <c r="A267" s="14">
        <v>262</v>
      </c>
      <c r="B267" s="9">
        <v>45737</v>
      </c>
      <c r="C267" s="10" t="s">
        <v>113</v>
      </c>
      <c r="D267" s="10" t="s">
        <v>10</v>
      </c>
      <c r="E267" s="11" t="s">
        <v>70</v>
      </c>
      <c r="F267" s="5">
        <v>2578.1799999999998</v>
      </c>
      <c r="G267" s="13" t="s">
        <v>114</v>
      </c>
      <c r="H267" s="12">
        <f t="shared" si="4"/>
        <v>-2578.1799999999998</v>
      </c>
    </row>
    <row r="268" spans="1:8">
      <c r="A268" s="14">
        <v>263</v>
      </c>
      <c r="B268" s="9">
        <v>45738</v>
      </c>
      <c r="C268" s="10" t="s">
        <v>113</v>
      </c>
      <c r="D268" s="10" t="s">
        <v>9</v>
      </c>
      <c r="E268" s="11" t="s">
        <v>56</v>
      </c>
      <c r="F268" s="5">
        <v>2448.4899999999998</v>
      </c>
      <c r="G268" s="13" t="s">
        <v>114</v>
      </c>
      <c r="H268" s="12">
        <f t="shared" si="4"/>
        <v>-2448.4899999999998</v>
      </c>
    </row>
    <row r="269" spans="1:8">
      <c r="A269" s="14">
        <v>264</v>
      </c>
      <c r="B269" s="9">
        <v>45738</v>
      </c>
      <c r="C269" s="10" t="s">
        <v>113</v>
      </c>
      <c r="D269" s="10" t="s">
        <v>15</v>
      </c>
      <c r="E269" s="11" t="s">
        <v>7</v>
      </c>
      <c r="F269" s="5">
        <v>1639.58</v>
      </c>
      <c r="G269" s="13" t="s">
        <v>114</v>
      </c>
      <c r="H269" s="12">
        <f t="shared" si="4"/>
        <v>-1639.58</v>
      </c>
    </row>
    <row r="270" spans="1:8">
      <c r="A270" s="14">
        <v>265</v>
      </c>
      <c r="B270" s="9">
        <v>45740</v>
      </c>
      <c r="C270" s="10" t="s">
        <v>113</v>
      </c>
      <c r="D270" s="10" t="s">
        <v>9</v>
      </c>
      <c r="E270" s="11" t="s">
        <v>38</v>
      </c>
      <c r="F270" s="5">
        <v>2469.86</v>
      </c>
      <c r="G270" s="13" t="s">
        <v>114</v>
      </c>
      <c r="H270" s="12">
        <f t="shared" si="4"/>
        <v>-2469.86</v>
      </c>
    </row>
    <row r="271" spans="1:8">
      <c r="A271" s="14">
        <v>266</v>
      </c>
      <c r="B271" s="9">
        <v>45740</v>
      </c>
      <c r="C271" s="10" t="s">
        <v>113</v>
      </c>
      <c r="D271" s="10" t="s">
        <v>10</v>
      </c>
      <c r="E271" s="11" t="s">
        <v>19</v>
      </c>
      <c r="F271" s="5">
        <v>14096.72</v>
      </c>
      <c r="G271" s="13" t="s">
        <v>114</v>
      </c>
      <c r="H271" s="12">
        <f t="shared" si="4"/>
        <v>-14096.72</v>
      </c>
    </row>
    <row r="272" spans="1:8">
      <c r="A272" s="14">
        <v>267</v>
      </c>
      <c r="B272" s="9">
        <v>45740</v>
      </c>
      <c r="C272" s="10" t="s">
        <v>113</v>
      </c>
      <c r="D272" s="10" t="s">
        <v>9</v>
      </c>
      <c r="E272" s="11" t="s">
        <v>21</v>
      </c>
      <c r="F272" s="5">
        <v>3891.43</v>
      </c>
      <c r="G272" s="13" t="s">
        <v>114</v>
      </c>
      <c r="H272" s="12">
        <f t="shared" si="4"/>
        <v>-3891.43</v>
      </c>
    </row>
    <row r="273" spans="1:8">
      <c r="A273" s="14">
        <v>268</v>
      </c>
      <c r="B273" s="9">
        <v>45740</v>
      </c>
      <c r="C273" s="10" t="s">
        <v>113</v>
      </c>
      <c r="D273" s="10" t="s">
        <v>9</v>
      </c>
      <c r="E273" s="11" t="s">
        <v>44</v>
      </c>
      <c r="F273" s="5">
        <v>2018.35</v>
      </c>
      <c r="G273" s="13" t="s">
        <v>114</v>
      </c>
      <c r="H273" s="12">
        <f t="shared" si="4"/>
        <v>-2018.35</v>
      </c>
    </row>
    <row r="274" spans="1:8">
      <c r="A274" s="14">
        <v>269</v>
      </c>
      <c r="B274" s="9">
        <v>45741</v>
      </c>
      <c r="C274" s="10" t="s">
        <v>113</v>
      </c>
      <c r="D274" s="10" t="s">
        <v>14</v>
      </c>
      <c r="E274" s="11" t="s">
        <v>52</v>
      </c>
      <c r="F274" s="5">
        <v>787.49</v>
      </c>
      <c r="G274" s="13" t="s">
        <v>114</v>
      </c>
      <c r="H274" s="12">
        <f t="shared" si="4"/>
        <v>-787.49</v>
      </c>
    </row>
    <row r="275" spans="1:8">
      <c r="A275" s="14">
        <v>270</v>
      </c>
      <c r="B275" s="9">
        <v>45741</v>
      </c>
      <c r="C275" s="10" t="s">
        <v>113</v>
      </c>
      <c r="D275" s="10" t="s">
        <v>15</v>
      </c>
      <c r="E275" s="11" t="s">
        <v>8</v>
      </c>
      <c r="F275" s="5">
        <v>8832.7999999999993</v>
      </c>
      <c r="G275" s="13" t="s">
        <v>114</v>
      </c>
      <c r="H275" s="12">
        <f t="shared" si="4"/>
        <v>-8832.7999999999993</v>
      </c>
    </row>
    <row r="276" spans="1:8">
      <c r="A276" s="14">
        <v>271</v>
      </c>
      <c r="B276" s="9">
        <v>45742</v>
      </c>
      <c r="C276" s="10" t="s">
        <v>113</v>
      </c>
      <c r="D276" s="10" t="s">
        <v>14</v>
      </c>
      <c r="E276" s="11" t="s">
        <v>52</v>
      </c>
      <c r="F276" s="5">
        <v>1418.55</v>
      </c>
      <c r="G276" s="13" t="s">
        <v>114</v>
      </c>
      <c r="H276" s="12">
        <f t="shared" si="4"/>
        <v>-1418.55</v>
      </c>
    </row>
    <row r="277" spans="1:8">
      <c r="A277" s="14">
        <v>272</v>
      </c>
      <c r="B277" s="9">
        <v>45742</v>
      </c>
      <c r="C277" s="10" t="s">
        <v>113</v>
      </c>
      <c r="D277" s="10" t="s">
        <v>17</v>
      </c>
      <c r="E277" s="11" t="s">
        <v>31</v>
      </c>
      <c r="F277" s="5">
        <v>5240.67</v>
      </c>
      <c r="G277" s="13" t="s">
        <v>114</v>
      </c>
      <c r="H277" s="12">
        <f t="shared" si="4"/>
        <v>-5240.67</v>
      </c>
    </row>
    <row r="278" spans="1:8">
      <c r="A278" s="14">
        <v>273</v>
      </c>
      <c r="B278" s="9">
        <v>45742</v>
      </c>
      <c r="C278" s="10" t="s">
        <v>113</v>
      </c>
      <c r="D278" s="10" t="s">
        <v>9</v>
      </c>
      <c r="E278" s="11" t="s">
        <v>67</v>
      </c>
      <c r="F278" s="5">
        <v>1641.93</v>
      </c>
      <c r="G278" s="13" t="s">
        <v>114</v>
      </c>
      <c r="H278" s="12">
        <f t="shared" si="4"/>
        <v>-1641.93</v>
      </c>
    </row>
    <row r="279" spans="1:8">
      <c r="A279" s="14">
        <v>274</v>
      </c>
      <c r="B279" s="9">
        <v>45742</v>
      </c>
      <c r="C279" s="10" t="s">
        <v>113</v>
      </c>
      <c r="D279" s="10" t="s">
        <v>16</v>
      </c>
      <c r="E279" s="11" t="s">
        <v>28</v>
      </c>
      <c r="F279" s="5">
        <v>3817.97</v>
      </c>
      <c r="G279" s="13" t="s">
        <v>114</v>
      </c>
      <c r="H279" s="12">
        <f t="shared" si="4"/>
        <v>-3817.97</v>
      </c>
    </row>
    <row r="280" spans="1:8">
      <c r="A280" s="14">
        <v>275</v>
      </c>
      <c r="B280" s="9">
        <v>45742</v>
      </c>
      <c r="C280" s="10" t="s">
        <v>113</v>
      </c>
      <c r="D280" s="10" t="s">
        <v>16</v>
      </c>
      <c r="E280" s="11" t="s">
        <v>22</v>
      </c>
      <c r="F280" s="5">
        <v>1977.65</v>
      </c>
      <c r="G280" s="13" t="s">
        <v>114</v>
      </c>
      <c r="H280" s="12">
        <f t="shared" si="4"/>
        <v>-1977.65</v>
      </c>
    </row>
    <row r="281" spans="1:8">
      <c r="A281" s="14">
        <v>276</v>
      </c>
      <c r="B281" s="9">
        <v>45742</v>
      </c>
      <c r="C281" s="10" t="s">
        <v>113</v>
      </c>
      <c r="D281" s="10" t="s">
        <v>17</v>
      </c>
      <c r="E281" s="11" t="s">
        <v>36</v>
      </c>
      <c r="F281" s="5">
        <v>1508.62</v>
      </c>
      <c r="G281" s="13" t="s">
        <v>114</v>
      </c>
      <c r="H281" s="12">
        <f t="shared" si="4"/>
        <v>-1508.62</v>
      </c>
    </row>
    <row r="282" spans="1:8">
      <c r="A282" s="14">
        <v>277</v>
      </c>
      <c r="B282" s="9">
        <v>45742</v>
      </c>
      <c r="C282" s="10" t="s">
        <v>113</v>
      </c>
      <c r="D282" s="10" t="s">
        <v>10</v>
      </c>
      <c r="E282" s="11" t="s">
        <v>65</v>
      </c>
      <c r="F282" s="5">
        <v>3970.53</v>
      </c>
      <c r="G282" s="13" t="s">
        <v>114</v>
      </c>
      <c r="H282" s="12">
        <f t="shared" si="4"/>
        <v>-3970.53</v>
      </c>
    </row>
    <row r="283" spans="1:8">
      <c r="A283" s="14">
        <v>278</v>
      </c>
      <c r="B283" s="9">
        <v>45743</v>
      </c>
      <c r="C283" s="10" t="s">
        <v>113</v>
      </c>
      <c r="D283" s="10" t="s">
        <v>17</v>
      </c>
      <c r="E283" s="11" t="s">
        <v>42</v>
      </c>
      <c r="F283" s="5">
        <v>771.03</v>
      </c>
      <c r="G283" s="13" t="s">
        <v>114</v>
      </c>
      <c r="H283" s="12">
        <f t="shared" si="4"/>
        <v>-771.03</v>
      </c>
    </row>
    <row r="284" spans="1:8">
      <c r="A284" s="14">
        <v>279</v>
      </c>
      <c r="B284" s="9">
        <v>45743</v>
      </c>
      <c r="C284" s="10" t="s">
        <v>113</v>
      </c>
      <c r="D284" s="10" t="s">
        <v>17</v>
      </c>
      <c r="E284" s="11" t="s">
        <v>36</v>
      </c>
      <c r="F284" s="5">
        <v>1234.1099999999999</v>
      </c>
      <c r="G284" s="13" t="s">
        <v>114</v>
      </c>
      <c r="H284" s="12">
        <f t="shared" si="4"/>
        <v>-1234.1099999999999</v>
      </c>
    </row>
    <row r="285" spans="1:8">
      <c r="A285" s="14">
        <v>280</v>
      </c>
      <c r="B285" s="9">
        <v>45743</v>
      </c>
      <c r="C285" s="10" t="s">
        <v>113</v>
      </c>
      <c r="D285" s="10" t="s">
        <v>15</v>
      </c>
      <c r="E285" s="11" t="s">
        <v>8</v>
      </c>
      <c r="F285" s="5">
        <v>3356.73</v>
      </c>
      <c r="G285" s="13" t="s">
        <v>114</v>
      </c>
      <c r="H285" s="12">
        <f t="shared" si="4"/>
        <v>-3356.73</v>
      </c>
    </row>
    <row r="286" spans="1:8">
      <c r="A286" s="14">
        <v>281</v>
      </c>
      <c r="B286" s="9">
        <v>45743</v>
      </c>
      <c r="C286" s="10" t="s">
        <v>113</v>
      </c>
      <c r="D286" s="10" t="s">
        <v>9</v>
      </c>
      <c r="E286" s="11" t="s">
        <v>67</v>
      </c>
      <c r="F286" s="5">
        <v>1657.86</v>
      </c>
      <c r="G286" s="13" t="s">
        <v>114</v>
      </c>
      <c r="H286" s="12">
        <f t="shared" si="4"/>
        <v>-1657.86</v>
      </c>
    </row>
    <row r="287" spans="1:8">
      <c r="A287" s="14">
        <v>282</v>
      </c>
      <c r="B287" s="9">
        <v>45743</v>
      </c>
      <c r="C287" s="10" t="s">
        <v>113</v>
      </c>
      <c r="D287" s="10" t="s">
        <v>10</v>
      </c>
      <c r="E287" s="11" t="s">
        <v>70</v>
      </c>
      <c r="F287" s="5">
        <v>2694.9</v>
      </c>
      <c r="G287" s="13" t="s">
        <v>114</v>
      </c>
      <c r="H287" s="12">
        <f t="shared" si="4"/>
        <v>-2694.9</v>
      </c>
    </row>
    <row r="288" spans="1:8">
      <c r="A288" s="14">
        <v>283</v>
      </c>
      <c r="B288" s="9">
        <v>45743</v>
      </c>
      <c r="C288" s="10" t="s">
        <v>113</v>
      </c>
      <c r="D288" s="10" t="s">
        <v>15</v>
      </c>
      <c r="E288" s="11" t="s">
        <v>37</v>
      </c>
      <c r="F288" s="5">
        <v>679.27</v>
      </c>
      <c r="G288" s="13" t="s">
        <v>114</v>
      </c>
      <c r="H288" s="12">
        <f t="shared" si="4"/>
        <v>-679.27</v>
      </c>
    </row>
    <row r="289" spans="1:8">
      <c r="A289" s="14">
        <v>284</v>
      </c>
      <c r="B289" s="9">
        <v>45743</v>
      </c>
      <c r="C289" s="10" t="s">
        <v>113</v>
      </c>
      <c r="D289" s="10" t="s">
        <v>16</v>
      </c>
      <c r="E289" s="11" t="s">
        <v>22</v>
      </c>
      <c r="F289" s="5">
        <v>1760.43</v>
      </c>
      <c r="G289" s="13" t="s">
        <v>114</v>
      </c>
      <c r="H289" s="12">
        <f t="shared" si="4"/>
        <v>-1760.43</v>
      </c>
    </row>
    <row r="290" spans="1:8">
      <c r="A290" s="14">
        <v>285</v>
      </c>
      <c r="B290" s="9">
        <v>45744</v>
      </c>
      <c r="C290" s="10" t="s">
        <v>113</v>
      </c>
      <c r="D290" s="10" t="s">
        <v>15</v>
      </c>
      <c r="E290" s="11" t="s">
        <v>43</v>
      </c>
      <c r="F290" s="5">
        <v>2412.91</v>
      </c>
      <c r="G290" s="13" t="s">
        <v>114</v>
      </c>
      <c r="H290" s="12">
        <f t="shared" si="4"/>
        <v>-2412.91</v>
      </c>
    </row>
    <row r="291" spans="1:8">
      <c r="A291" s="14">
        <v>286</v>
      </c>
      <c r="B291" s="9">
        <v>45744</v>
      </c>
      <c r="C291" s="10" t="s">
        <v>113</v>
      </c>
      <c r="D291" s="10" t="s">
        <v>9</v>
      </c>
      <c r="E291" s="11" t="s">
        <v>67</v>
      </c>
      <c r="F291" s="5">
        <v>1023.56</v>
      </c>
      <c r="G291" s="13" t="s">
        <v>114</v>
      </c>
      <c r="H291" s="12">
        <f t="shared" si="4"/>
        <v>-1023.56</v>
      </c>
    </row>
    <row r="292" spans="1:8">
      <c r="A292" s="14">
        <v>287</v>
      </c>
      <c r="B292" s="9">
        <v>45744</v>
      </c>
      <c r="C292" s="10" t="s">
        <v>113</v>
      </c>
      <c r="D292" s="10" t="s">
        <v>14</v>
      </c>
      <c r="E292" s="11" t="s">
        <v>34</v>
      </c>
      <c r="F292" s="5">
        <v>13248.63</v>
      </c>
      <c r="G292" s="13" t="s">
        <v>114</v>
      </c>
      <c r="H292" s="12">
        <f t="shared" si="4"/>
        <v>-13248.63</v>
      </c>
    </row>
    <row r="293" spans="1:8">
      <c r="A293" s="14">
        <v>288</v>
      </c>
      <c r="B293" s="9">
        <v>45745</v>
      </c>
      <c r="C293" s="10" t="s">
        <v>113</v>
      </c>
      <c r="D293" s="10" t="s">
        <v>16</v>
      </c>
      <c r="E293" s="11" t="s">
        <v>39</v>
      </c>
      <c r="F293" s="5">
        <v>559.20000000000005</v>
      </c>
      <c r="G293" s="13" t="s">
        <v>114</v>
      </c>
      <c r="H293" s="12">
        <f t="shared" si="4"/>
        <v>-559.20000000000005</v>
      </c>
    </row>
    <row r="294" spans="1:8">
      <c r="A294" s="14">
        <v>289</v>
      </c>
      <c r="B294" s="9">
        <v>45745</v>
      </c>
      <c r="C294" s="10" t="s">
        <v>113</v>
      </c>
      <c r="D294" s="10" t="s">
        <v>15</v>
      </c>
      <c r="E294" s="11" t="s">
        <v>43</v>
      </c>
      <c r="F294" s="5">
        <v>1265.52</v>
      </c>
      <c r="G294" s="13" t="s">
        <v>114</v>
      </c>
      <c r="H294" s="12">
        <f t="shared" si="4"/>
        <v>-1265.52</v>
      </c>
    </row>
    <row r="295" spans="1:8">
      <c r="A295" s="14">
        <v>290</v>
      </c>
      <c r="B295" s="9">
        <v>45745</v>
      </c>
      <c r="C295" s="10" t="s">
        <v>113</v>
      </c>
      <c r="D295" s="10" t="s">
        <v>16</v>
      </c>
      <c r="E295" s="11" t="s">
        <v>28</v>
      </c>
      <c r="F295" s="5">
        <v>7065.32</v>
      </c>
      <c r="G295" s="13" t="s">
        <v>114</v>
      </c>
      <c r="H295" s="12">
        <f t="shared" si="4"/>
        <v>-7065.32</v>
      </c>
    </row>
    <row r="296" spans="1:8">
      <c r="A296" s="14">
        <v>291</v>
      </c>
      <c r="B296" s="9">
        <v>45746</v>
      </c>
      <c r="C296" s="10" t="s">
        <v>113</v>
      </c>
      <c r="D296" s="10" t="s">
        <v>15</v>
      </c>
      <c r="E296" s="11" t="s">
        <v>8</v>
      </c>
      <c r="F296" s="5">
        <v>5512.13</v>
      </c>
      <c r="G296" s="13" t="s">
        <v>114</v>
      </c>
      <c r="H296" s="12">
        <f t="shared" si="4"/>
        <v>-5512.13</v>
      </c>
    </row>
    <row r="297" spans="1:8">
      <c r="A297" s="14">
        <v>292</v>
      </c>
      <c r="B297" s="9">
        <v>45747</v>
      </c>
      <c r="C297" s="10" t="s">
        <v>113</v>
      </c>
      <c r="D297" s="10" t="s">
        <v>9</v>
      </c>
      <c r="E297" s="11" t="s">
        <v>32</v>
      </c>
      <c r="F297" s="5">
        <v>553.98</v>
      </c>
      <c r="G297" s="13" t="s">
        <v>114</v>
      </c>
      <c r="H297" s="12">
        <f t="shared" si="4"/>
        <v>-553.98</v>
      </c>
    </row>
    <row r="298" spans="1:8">
      <c r="A298" s="14">
        <v>293</v>
      </c>
      <c r="B298" s="9">
        <v>45747</v>
      </c>
      <c r="C298" s="10" t="s">
        <v>113</v>
      </c>
      <c r="D298" s="10" t="s">
        <v>14</v>
      </c>
      <c r="E298" s="11" t="s">
        <v>64</v>
      </c>
      <c r="F298" s="5">
        <v>1437.97</v>
      </c>
      <c r="G298" s="13" t="s">
        <v>114</v>
      </c>
      <c r="H298" s="12">
        <f t="shared" si="4"/>
        <v>-1437.97</v>
      </c>
    </row>
    <row r="299" spans="1:8">
      <c r="A299" s="14">
        <v>294</v>
      </c>
      <c r="B299" s="9">
        <v>45747</v>
      </c>
      <c r="C299" s="10" t="s">
        <v>113</v>
      </c>
      <c r="D299" s="10" t="s">
        <v>16</v>
      </c>
      <c r="E299" s="11" t="s">
        <v>73</v>
      </c>
      <c r="F299" s="5">
        <v>1194.0999999999999</v>
      </c>
      <c r="G299" s="13" t="s">
        <v>114</v>
      </c>
      <c r="H299" s="12">
        <f t="shared" si="4"/>
        <v>-1194.0999999999999</v>
      </c>
    </row>
    <row r="300" spans="1:8">
      <c r="A300" s="14">
        <v>295</v>
      </c>
      <c r="B300" s="9">
        <v>45747</v>
      </c>
      <c r="C300" s="10" t="s">
        <v>113</v>
      </c>
      <c r="D300" s="10" t="s">
        <v>9</v>
      </c>
      <c r="E300" s="11" t="s">
        <v>32</v>
      </c>
      <c r="F300" s="5">
        <v>2027.65</v>
      </c>
      <c r="G300" s="13" t="s">
        <v>114</v>
      </c>
      <c r="H300" s="12">
        <f t="shared" si="4"/>
        <v>-2027.65</v>
      </c>
    </row>
    <row r="301" spans="1:8">
      <c r="A301" s="14">
        <v>296</v>
      </c>
      <c r="B301" s="9">
        <v>45748</v>
      </c>
      <c r="C301" s="10" t="s">
        <v>113</v>
      </c>
      <c r="D301" s="10" t="s">
        <v>9</v>
      </c>
      <c r="E301" s="11" t="s">
        <v>38</v>
      </c>
      <c r="F301" s="5">
        <v>9749.4</v>
      </c>
      <c r="G301" s="13" t="s">
        <v>114</v>
      </c>
      <c r="H301" s="12">
        <f t="shared" si="4"/>
        <v>-9749.4</v>
      </c>
    </row>
    <row r="302" spans="1:8">
      <c r="A302" s="14">
        <v>297</v>
      </c>
      <c r="B302" s="9">
        <v>45749</v>
      </c>
      <c r="C302" s="10" t="s">
        <v>113</v>
      </c>
      <c r="D302" s="10" t="s">
        <v>9</v>
      </c>
      <c r="E302" s="11" t="s">
        <v>38</v>
      </c>
      <c r="F302" s="5">
        <v>5870.21</v>
      </c>
      <c r="G302" s="13" t="s">
        <v>114</v>
      </c>
      <c r="H302" s="12">
        <f t="shared" si="4"/>
        <v>-5870.21</v>
      </c>
    </row>
    <row r="303" spans="1:8">
      <c r="A303" s="14">
        <v>298</v>
      </c>
      <c r="B303" s="9">
        <v>45751</v>
      </c>
      <c r="C303" s="10" t="s">
        <v>113</v>
      </c>
      <c r="D303" s="10" t="s">
        <v>9</v>
      </c>
      <c r="E303" s="11" t="s">
        <v>67</v>
      </c>
      <c r="F303" s="5">
        <v>1855.1</v>
      </c>
      <c r="G303" s="13" t="s">
        <v>114</v>
      </c>
      <c r="H303" s="12">
        <f t="shared" si="4"/>
        <v>-1855.1</v>
      </c>
    </row>
    <row r="304" spans="1:8">
      <c r="A304" s="14">
        <v>299</v>
      </c>
      <c r="B304" s="9">
        <v>45751</v>
      </c>
      <c r="C304" s="10" t="s">
        <v>113</v>
      </c>
      <c r="D304" s="10" t="s">
        <v>9</v>
      </c>
      <c r="E304" s="11" t="s">
        <v>27</v>
      </c>
      <c r="F304" s="5">
        <v>1465.48</v>
      </c>
      <c r="G304" s="13" t="s">
        <v>114</v>
      </c>
      <c r="H304" s="12">
        <f t="shared" si="4"/>
        <v>-1465.48</v>
      </c>
    </row>
    <row r="305" spans="1:8">
      <c r="A305" s="14">
        <v>300</v>
      </c>
      <c r="B305" s="9">
        <v>45752</v>
      </c>
      <c r="C305" s="10" t="s">
        <v>113</v>
      </c>
      <c r="D305" s="10" t="s">
        <v>10</v>
      </c>
      <c r="E305" s="11" t="s">
        <v>53</v>
      </c>
      <c r="F305" s="5">
        <v>2084.44</v>
      </c>
      <c r="G305" s="13" t="s">
        <v>114</v>
      </c>
      <c r="H305" s="12">
        <f t="shared" si="4"/>
        <v>-2084.44</v>
      </c>
    </row>
    <row r="306" spans="1:8">
      <c r="A306" s="14">
        <v>301</v>
      </c>
      <c r="B306" s="9">
        <v>45753</v>
      </c>
      <c r="C306" s="10" t="s">
        <v>113</v>
      </c>
      <c r="D306" s="10" t="s">
        <v>10</v>
      </c>
      <c r="E306" s="11" t="s">
        <v>24</v>
      </c>
      <c r="F306" s="5">
        <v>8158.59</v>
      </c>
      <c r="G306" s="13" t="s">
        <v>114</v>
      </c>
      <c r="H306" s="12">
        <f t="shared" si="4"/>
        <v>-8158.59</v>
      </c>
    </row>
    <row r="307" spans="1:8">
      <c r="A307" s="14">
        <v>302</v>
      </c>
      <c r="B307" s="9">
        <v>45753</v>
      </c>
      <c r="C307" s="10" t="s">
        <v>113</v>
      </c>
      <c r="D307" s="10" t="s">
        <v>9</v>
      </c>
      <c r="E307" s="11" t="s">
        <v>21</v>
      </c>
      <c r="F307" s="5">
        <v>2962.28</v>
      </c>
      <c r="G307" s="13" t="s">
        <v>114</v>
      </c>
      <c r="H307" s="12">
        <f t="shared" si="4"/>
        <v>-2962.28</v>
      </c>
    </row>
    <row r="308" spans="1:8">
      <c r="A308" s="14">
        <v>303</v>
      </c>
      <c r="B308" s="9">
        <v>45753</v>
      </c>
      <c r="C308" s="10" t="s">
        <v>113</v>
      </c>
      <c r="D308" s="10" t="s">
        <v>10</v>
      </c>
      <c r="E308" s="11" t="s">
        <v>53</v>
      </c>
      <c r="F308" s="5">
        <v>4331.25</v>
      </c>
      <c r="G308" s="13" t="s">
        <v>114</v>
      </c>
      <c r="H308" s="12">
        <f t="shared" si="4"/>
        <v>-4331.25</v>
      </c>
    </row>
    <row r="309" spans="1:8">
      <c r="A309" s="14">
        <v>304</v>
      </c>
      <c r="B309" s="9">
        <v>45753</v>
      </c>
      <c r="C309" s="10" t="s">
        <v>113</v>
      </c>
      <c r="D309" s="10" t="s">
        <v>15</v>
      </c>
      <c r="E309" s="11" t="s">
        <v>26</v>
      </c>
      <c r="F309" s="5">
        <v>2580.1</v>
      </c>
      <c r="G309" s="13" t="s">
        <v>114</v>
      </c>
      <c r="H309" s="12">
        <f t="shared" si="4"/>
        <v>-2580.1</v>
      </c>
    </row>
    <row r="310" spans="1:8">
      <c r="A310" s="14">
        <v>305</v>
      </c>
      <c r="B310" s="9">
        <v>45753</v>
      </c>
      <c r="C310" s="10" t="s">
        <v>113</v>
      </c>
      <c r="D310" s="10" t="s">
        <v>10</v>
      </c>
      <c r="E310" s="11" t="s">
        <v>24</v>
      </c>
      <c r="F310" s="5">
        <v>4138.74</v>
      </c>
      <c r="G310" s="13" t="s">
        <v>114</v>
      </c>
      <c r="H310" s="12">
        <f t="shared" si="4"/>
        <v>-4138.74</v>
      </c>
    </row>
    <row r="311" spans="1:8">
      <c r="A311" s="14">
        <v>306</v>
      </c>
      <c r="B311" s="9">
        <v>45754</v>
      </c>
      <c r="C311" s="10" t="s">
        <v>113</v>
      </c>
      <c r="D311" s="10" t="s">
        <v>10</v>
      </c>
      <c r="E311" s="11" t="s">
        <v>70</v>
      </c>
      <c r="F311" s="5">
        <v>2629.68</v>
      </c>
      <c r="G311" s="13" t="s">
        <v>114</v>
      </c>
      <c r="H311" s="12">
        <f t="shared" si="4"/>
        <v>-2629.68</v>
      </c>
    </row>
    <row r="312" spans="1:8">
      <c r="A312" s="14">
        <v>307</v>
      </c>
      <c r="B312" s="9">
        <v>45754</v>
      </c>
      <c r="C312" s="10" t="s">
        <v>113</v>
      </c>
      <c r="D312" s="10" t="s">
        <v>15</v>
      </c>
      <c r="E312" s="11" t="s">
        <v>8</v>
      </c>
      <c r="F312" s="5">
        <v>7156.09</v>
      </c>
      <c r="G312" s="13" t="s">
        <v>114</v>
      </c>
      <c r="H312" s="12">
        <f t="shared" si="4"/>
        <v>-7156.09</v>
      </c>
    </row>
    <row r="313" spans="1:8">
      <c r="A313" s="14">
        <v>308</v>
      </c>
      <c r="B313" s="9">
        <v>45754</v>
      </c>
      <c r="C313" s="10" t="s">
        <v>113</v>
      </c>
      <c r="D313" s="10" t="s">
        <v>15</v>
      </c>
      <c r="E313" s="11" t="s">
        <v>26</v>
      </c>
      <c r="F313" s="5">
        <v>2518.1999999999998</v>
      </c>
      <c r="G313" s="13" t="s">
        <v>114</v>
      </c>
      <c r="H313" s="12">
        <f t="shared" si="4"/>
        <v>-2518.1999999999998</v>
      </c>
    </row>
    <row r="314" spans="1:8">
      <c r="A314" s="14">
        <v>309</v>
      </c>
      <c r="B314" s="9">
        <v>45755</v>
      </c>
      <c r="C314" s="10" t="s">
        <v>113</v>
      </c>
      <c r="D314" s="10" t="s">
        <v>10</v>
      </c>
      <c r="E314" s="11" t="s">
        <v>19</v>
      </c>
      <c r="F314" s="5">
        <v>15565.43</v>
      </c>
      <c r="G314" s="13" t="s">
        <v>114</v>
      </c>
      <c r="H314" s="12">
        <f t="shared" si="4"/>
        <v>-15565.43</v>
      </c>
    </row>
    <row r="315" spans="1:8">
      <c r="A315" s="14">
        <v>310</v>
      </c>
      <c r="B315" s="9">
        <v>45755</v>
      </c>
      <c r="C315" s="10" t="s">
        <v>113</v>
      </c>
      <c r="D315" s="10" t="s">
        <v>16</v>
      </c>
      <c r="E315" s="11" t="s">
        <v>73</v>
      </c>
      <c r="F315" s="5">
        <v>1199.26</v>
      </c>
      <c r="G315" s="13" t="s">
        <v>114</v>
      </c>
      <c r="H315" s="12">
        <f t="shared" si="4"/>
        <v>-1199.26</v>
      </c>
    </row>
    <row r="316" spans="1:8">
      <c r="A316" s="14">
        <v>311</v>
      </c>
      <c r="B316" s="9">
        <v>45755</v>
      </c>
      <c r="C316" s="10" t="s">
        <v>113</v>
      </c>
      <c r="D316" s="10" t="s">
        <v>10</v>
      </c>
      <c r="E316" s="11" t="s">
        <v>47</v>
      </c>
      <c r="F316" s="5">
        <v>16031.31</v>
      </c>
      <c r="G316" s="13" t="s">
        <v>114</v>
      </c>
      <c r="H316" s="12">
        <f t="shared" si="4"/>
        <v>-16031.31</v>
      </c>
    </row>
    <row r="317" spans="1:8">
      <c r="A317" s="14">
        <v>312</v>
      </c>
      <c r="B317" s="9">
        <v>45755</v>
      </c>
      <c r="C317" s="10" t="s">
        <v>113</v>
      </c>
      <c r="D317" s="10" t="s">
        <v>15</v>
      </c>
      <c r="E317" s="11" t="s">
        <v>55</v>
      </c>
      <c r="F317" s="5">
        <v>2658.96</v>
      </c>
      <c r="G317" s="13" t="s">
        <v>114</v>
      </c>
      <c r="H317" s="12">
        <f t="shared" si="4"/>
        <v>-2658.96</v>
      </c>
    </row>
    <row r="318" spans="1:8">
      <c r="A318" s="14">
        <v>313</v>
      </c>
      <c r="B318" s="9">
        <v>45756</v>
      </c>
      <c r="C318" s="10" t="s">
        <v>113</v>
      </c>
      <c r="D318" s="10" t="s">
        <v>15</v>
      </c>
      <c r="E318" s="11" t="s">
        <v>71</v>
      </c>
      <c r="F318" s="5">
        <v>1059.42</v>
      </c>
      <c r="G318" s="13" t="s">
        <v>114</v>
      </c>
      <c r="H318" s="12">
        <f t="shared" si="4"/>
        <v>-1059.42</v>
      </c>
    </row>
    <row r="319" spans="1:8">
      <c r="A319" s="14">
        <v>314</v>
      </c>
      <c r="B319" s="9">
        <v>45756</v>
      </c>
      <c r="C319" s="10" t="s">
        <v>113</v>
      </c>
      <c r="D319" s="10" t="s">
        <v>14</v>
      </c>
      <c r="E319" s="11" t="s">
        <v>74</v>
      </c>
      <c r="F319" s="5">
        <v>3231.76</v>
      </c>
      <c r="G319" s="13" t="s">
        <v>114</v>
      </c>
      <c r="H319" s="12">
        <f t="shared" si="4"/>
        <v>-3231.76</v>
      </c>
    </row>
    <row r="320" spans="1:8">
      <c r="A320" s="14">
        <v>315</v>
      </c>
      <c r="B320" s="9">
        <v>45756</v>
      </c>
      <c r="C320" s="10" t="s">
        <v>113</v>
      </c>
      <c r="D320" s="10" t="s">
        <v>14</v>
      </c>
      <c r="E320" s="11" t="s">
        <v>64</v>
      </c>
      <c r="F320" s="5">
        <v>1153.23</v>
      </c>
      <c r="G320" s="13" t="s">
        <v>114</v>
      </c>
      <c r="H320" s="12">
        <f t="shared" si="4"/>
        <v>-1153.23</v>
      </c>
    </row>
    <row r="321" spans="1:8">
      <c r="A321" s="14">
        <v>316</v>
      </c>
      <c r="B321" s="9">
        <v>45757</v>
      </c>
      <c r="C321" s="10" t="s">
        <v>113</v>
      </c>
      <c r="D321" s="10" t="s">
        <v>9</v>
      </c>
      <c r="E321" s="11" t="s">
        <v>67</v>
      </c>
      <c r="F321" s="5">
        <v>1141.3</v>
      </c>
      <c r="G321" s="13" t="s">
        <v>114</v>
      </c>
      <c r="H321" s="12">
        <f t="shared" si="4"/>
        <v>-1141.3</v>
      </c>
    </row>
    <row r="322" spans="1:8">
      <c r="A322" s="14">
        <v>317</v>
      </c>
      <c r="B322" s="9">
        <v>45757</v>
      </c>
      <c r="C322" s="10" t="s">
        <v>113</v>
      </c>
      <c r="D322" s="10" t="s">
        <v>14</v>
      </c>
      <c r="E322" s="11" t="s">
        <v>23</v>
      </c>
      <c r="F322" s="5">
        <v>5078.96</v>
      </c>
      <c r="G322" s="13" t="s">
        <v>114</v>
      </c>
      <c r="H322" s="12">
        <f t="shared" si="4"/>
        <v>-5078.96</v>
      </c>
    </row>
    <row r="323" spans="1:8">
      <c r="A323" s="14">
        <v>318</v>
      </c>
      <c r="B323" s="9">
        <v>45758</v>
      </c>
      <c r="C323" s="10" t="s">
        <v>113</v>
      </c>
      <c r="D323" s="10" t="s">
        <v>10</v>
      </c>
      <c r="E323" s="11" t="s">
        <v>35</v>
      </c>
      <c r="F323" s="5">
        <v>17755.82</v>
      </c>
      <c r="G323" s="13" t="s">
        <v>114</v>
      </c>
      <c r="H323" s="12">
        <f t="shared" si="4"/>
        <v>-17755.82</v>
      </c>
    </row>
    <row r="324" spans="1:8">
      <c r="A324" s="14">
        <v>319</v>
      </c>
      <c r="B324" s="9">
        <v>45758</v>
      </c>
      <c r="C324" s="10" t="s">
        <v>113</v>
      </c>
      <c r="D324" s="10" t="s">
        <v>10</v>
      </c>
      <c r="E324" s="11" t="s">
        <v>70</v>
      </c>
      <c r="F324" s="5">
        <v>3448.38</v>
      </c>
      <c r="G324" s="13" t="s">
        <v>114</v>
      </c>
      <c r="H324" s="12">
        <f t="shared" si="4"/>
        <v>-3448.38</v>
      </c>
    </row>
    <row r="325" spans="1:8">
      <c r="A325" s="14">
        <v>320</v>
      </c>
      <c r="B325" s="9">
        <v>45758</v>
      </c>
      <c r="C325" s="10" t="s">
        <v>113</v>
      </c>
      <c r="D325" s="10" t="s">
        <v>10</v>
      </c>
      <c r="E325" s="11" t="s">
        <v>70</v>
      </c>
      <c r="F325" s="5">
        <v>1711.14</v>
      </c>
      <c r="G325" s="13" t="s">
        <v>114</v>
      </c>
      <c r="H325" s="12">
        <f t="shared" ref="H325:H388" si="5">IF(C325="Despesa", F325*-1, F325)</f>
        <v>-1711.14</v>
      </c>
    </row>
    <row r="326" spans="1:8">
      <c r="A326" s="14">
        <v>321</v>
      </c>
      <c r="B326" s="9">
        <v>45758</v>
      </c>
      <c r="C326" s="10" t="s">
        <v>113</v>
      </c>
      <c r="D326" s="10" t="s">
        <v>9</v>
      </c>
      <c r="E326" s="11" t="s">
        <v>27</v>
      </c>
      <c r="F326" s="5">
        <v>2280.89</v>
      </c>
      <c r="G326" s="13" t="s">
        <v>114</v>
      </c>
      <c r="H326" s="12">
        <f t="shared" si="5"/>
        <v>-2280.89</v>
      </c>
    </row>
    <row r="327" spans="1:8">
      <c r="A327" s="14">
        <v>322</v>
      </c>
      <c r="B327" s="9">
        <v>45758</v>
      </c>
      <c r="C327" s="10" t="s">
        <v>113</v>
      </c>
      <c r="D327" s="10" t="s">
        <v>15</v>
      </c>
      <c r="E327" s="11" t="s">
        <v>55</v>
      </c>
      <c r="F327" s="5">
        <v>945.81</v>
      </c>
      <c r="G327" s="13" t="s">
        <v>114</v>
      </c>
      <c r="H327" s="12">
        <f t="shared" si="5"/>
        <v>-945.81</v>
      </c>
    </row>
    <row r="328" spans="1:8">
      <c r="A328" s="14">
        <v>323</v>
      </c>
      <c r="B328" s="9">
        <v>45759</v>
      </c>
      <c r="C328" s="10" t="s">
        <v>113</v>
      </c>
      <c r="D328" s="10" t="s">
        <v>15</v>
      </c>
      <c r="E328" s="11" t="s">
        <v>8</v>
      </c>
      <c r="F328" s="5">
        <v>4169.16</v>
      </c>
      <c r="G328" s="13" t="s">
        <v>114</v>
      </c>
      <c r="H328" s="12">
        <f t="shared" si="5"/>
        <v>-4169.16</v>
      </c>
    </row>
    <row r="329" spans="1:8">
      <c r="A329" s="14">
        <v>324</v>
      </c>
      <c r="B329" s="9">
        <v>45759</v>
      </c>
      <c r="C329" s="10" t="s">
        <v>113</v>
      </c>
      <c r="D329" s="10" t="s">
        <v>9</v>
      </c>
      <c r="E329" s="11" t="s">
        <v>44</v>
      </c>
      <c r="F329" s="5">
        <v>650.44000000000005</v>
      </c>
      <c r="G329" s="13" t="s">
        <v>114</v>
      </c>
      <c r="H329" s="12">
        <f t="shared" si="5"/>
        <v>-650.44000000000005</v>
      </c>
    </row>
    <row r="330" spans="1:8">
      <c r="A330" s="14">
        <v>325</v>
      </c>
      <c r="B330" s="9">
        <v>45760</v>
      </c>
      <c r="C330" s="10" t="s">
        <v>113</v>
      </c>
      <c r="D330" s="10" t="s">
        <v>16</v>
      </c>
      <c r="E330" s="11" t="s">
        <v>33</v>
      </c>
      <c r="F330" s="5">
        <v>1106.76</v>
      </c>
      <c r="G330" s="13" t="s">
        <v>114</v>
      </c>
      <c r="H330" s="12">
        <f t="shared" si="5"/>
        <v>-1106.76</v>
      </c>
    </row>
    <row r="331" spans="1:8">
      <c r="A331" s="14">
        <v>326</v>
      </c>
      <c r="B331" s="9">
        <v>45761</v>
      </c>
      <c r="C331" s="10" t="s">
        <v>113</v>
      </c>
      <c r="D331" s="10" t="s">
        <v>17</v>
      </c>
      <c r="E331" s="11" t="s">
        <v>20</v>
      </c>
      <c r="F331" s="5">
        <v>214.75</v>
      </c>
      <c r="G331" s="13" t="s">
        <v>114</v>
      </c>
      <c r="H331" s="12">
        <f t="shared" si="5"/>
        <v>-214.75</v>
      </c>
    </row>
    <row r="332" spans="1:8">
      <c r="A332" s="14">
        <v>327</v>
      </c>
      <c r="B332" s="9">
        <v>45761</v>
      </c>
      <c r="C332" s="10" t="s">
        <v>113</v>
      </c>
      <c r="D332" s="10" t="s">
        <v>14</v>
      </c>
      <c r="E332" s="11" t="s">
        <v>29</v>
      </c>
      <c r="F332" s="5">
        <v>1642.74</v>
      </c>
      <c r="G332" s="13" t="s">
        <v>114</v>
      </c>
      <c r="H332" s="12">
        <f t="shared" si="5"/>
        <v>-1642.74</v>
      </c>
    </row>
    <row r="333" spans="1:8">
      <c r="A333" s="14">
        <v>328</v>
      </c>
      <c r="B333" s="9">
        <v>45761</v>
      </c>
      <c r="C333" s="10" t="s">
        <v>113</v>
      </c>
      <c r="D333" s="10" t="s">
        <v>16</v>
      </c>
      <c r="E333" s="11" t="s">
        <v>63</v>
      </c>
      <c r="F333" s="5">
        <v>5032.78</v>
      </c>
      <c r="G333" s="13" t="s">
        <v>114</v>
      </c>
      <c r="H333" s="12">
        <f t="shared" si="5"/>
        <v>-5032.78</v>
      </c>
    </row>
    <row r="334" spans="1:8">
      <c r="A334" s="14">
        <v>329</v>
      </c>
      <c r="B334" s="9">
        <v>45761</v>
      </c>
      <c r="C334" s="10" t="s">
        <v>113</v>
      </c>
      <c r="D334" s="10" t="s">
        <v>9</v>
      </c>
      <c r="E334" s="11" t="s">
        <v>67</v>
      </c>
      <c r="F334" s="5">
        <v>1768.99</v>
      </c>
      <c r="G334" s="13" t="s">
        <v>114</v>
      </c>
      <c r="H334" s="12">
        <f t="shared" si="5"/>
        <v>-1768.99</v>
      </c>
    </row>
    <row r="335" spans="1:8">
      <c r="A335" s="14">
        <v>330</v>
      </c>
      <c r="B335" s="9">
        <v>45761</v>
      </c>
      <c r="C335" s="10" t="s">
        <v>113</v>
      </c>
      <c r="D335" s="10" t="s">
        <v>10</v>
      </c>
      <c r="E335" s="11" t="s">
        <v>59</v>
      </c>
      <c r="F335" s="5">
        <v>3783.32</v>
      </c>
      <c r="G335" s="13" t="s">
        <v>114</v>
      </c>
      <c r="H335" s="12">
        <f t="shared" si="5"/>
        <v>-3783.32</v>
      </c>
    </row>
    <row r="336" spans="1:8">
      <c r="A336" s="14">
        <v>331</v>
      </c>
      <c r="B336" s="9">
        <v>45762</v>
      </c>
      <c r="C336" s="10" t="s">
        <v>113</v>
      </c>
      <c r="D336" s="10" t="s">
        <v>10</v>
      </c>
      <c r="E336" s="11" t="s">
        <v>65</v>
      </c>
      <c r="F336" s="5">
        <v>3827.2</v>
      </c>
      <c r="G336" s="13" t="s">
        <v>114</v>
      </c>
      <c r="H336" s="12">
        <f t="shared" si="5"/>
        <v>-3827.2</v>
      </c>
    </row>
    <row r="337" spans="1:8">
      <c r="A337" s="14">
        <v>332</v>
      </c>
      <c r="B337" s="9">
        <v>45762</v>
      </c>
      <c r="C337" s="10" t="s">
        <v>113</v>
      </c>
      <c r="D337" s="10" t="s">
        <v>16</v>
      </c>
      <c r="E337" s="11" t="s">
        <v>57</v>
      </c>
      <c r="F337" s="5">
        <v>2348.42</v>
      </c>
      <c r="G337" s="13" t="s">
        <v>114</v>
      </c>
      <c r="H337" s="12">
        <f t="shared" si="5"/>
        <v>-2348.42</v>
      </c>
    </row>
    <row r="338" spans="1:8">
      <c r="A338" s="14">
        <v>333</v>
      </c>
      <c r="B338" s="9">
        <v>45762</v>
      </c>
      <c r="C338" s="10" t="s">
        <v>113</v>
      </c>
      <c r="D338" s="10" t="s">
        <v>15</v>
      </c>
      <c r="E338" s="11" t="s">
        <v>37</v>
      </c>
      <c r="F338" s="5">
        <v>219.98</v>
      </c>
      <c r="G338" s="13" t="s">
        <v>114</v>
      </c>
      <c r="H338" s="12">
        <f t="shared" si="5"/>
        <v>-219.98</v>
      </c>
    </row>
    <row r="339" spans="1:8">
      <c r="A339" s="14">
        <v>334</v>
      </c>
      <c r="B339" s="9">
        <v>45763</v>
      </c>
      <c r="C339" s="10" t="s">
        <v>113</v>
      </c>
      <c r="D339" s="10" t="s">
        <v>16</v>
      </c>
      <c r="E339" s="11" t="s">
        <v>57</v>
      </c>
      <c r="F339" s="5">
        <v>1404.45</v>
      </c>
      <c r="G339" s="13" t="s">
        <v>114</v>
      </c>
      <c r="H339" s="12">
        <f t="shared" si="5"/>
        <v>-1404.45</v>
      </c>
    </row>
    <row r="340" spans="1:8">
      <c r="A340" s="14">
        <v>335</v>
      </c>
      <c r="B340" s="9">
        <v>45763</v>
      </c>
      <c r="C340" s="10" t="s">
        <v>113</v>
      </c>
      <c r="D340" s="10" t="s">
        <v>15</v>
      </c>
      <c r="E340" s="11" t="s">
        <v>66</v>
      </c>
      <c r="F340" s="5">
        <v>4469.42</v>
      </c>
      <c r="G340" s="13" t="s">
        <v>114</v>
      </c>
      <c r="H340" s="12">
        <f t="shared" si="5"/>
        <v>-4469.42</v>
      </c>
    </row>
    <row r="341" spans="1:8">
      <c r="A341" s="14">
        <v>336</v>
      </c>
      <c r="B341" s="9">
        <v>45763</v>
      </c>
      <c r="C341" s="10" t="s">
        <v>113</v>
      </c>
      <c r="D341" s="10" t="s">
        <v>14</v>
      </c>
      <c r="E341" s="11" t="s">
        <v>40</v>
      </c>
      <c r="F341" s="5">
        <v>6086.65</v>
      </c>
      <c r="G341" s="13" t="s">
        <v>114</v>
      </c>
      <c r="H341" s="12">
        <f t="shared" si="5"/>
        <v>-6086.65</v>
      </c>
    </row>
    <row r="342" spans="1:8">
      <c r="A342" s="14">
        <v>337</v>
      </c>
      <c r="B342" s="9">
        <v>45763</v>
      </c>
      <c r="C342" s="10" t="s">
        <v>113</v>
      </c>
      <c r="D342" s="10" t="s">
        <v>9</v>
      </c>
      <c r="E342" s="11" t="s">
        <v>27</v>
      </c>
      <c r="F342" s="5">
        <v>2432.12</v>
      </c>
      <c r="G342" s="13" t="s">
        <v>114</v>
      </c>
      <c r="H342" s="12">
        <f t="shared" si="5"/>
        <v>-2432.12</v>
      </c>
    </row>
    <row r="343" spans="1:8">
      <c r="A343" s="14">
        <v>338</v>
      </c>
      <c r="B343" s="9">
        <v>45764</v>
      </c>
      <c r="C343" s="10" t="s">
        <v>113</v>
      </c>
      <c r="D343" s="10" t="s">
        <v>16</v>
      </c>
      <c r="E343" s="11" t="s">
        <v>33</v>
      </c>
      <c r="F343" s="5">
        <v>1462.93</v>
      </c>
      <c r="G343" s="13" t="s">
        <v>114</v>
      </c>
      <c r="H343" s="12">
        <f t="shared" si="5"/>
        <v>-1462.93</v>
      </c>
    </row>
    <row r="344" spans="1:8">
      <c r="A344" s="14">
        <v>339</v>
      </c>
      <c r="B344" s="9">
        <v>45764</v>
      </c>
      <c r="C344" s="10" t="s">
        <v>113</v>
      </c>
      <c r="D344" s="10" t="s">
        <v>17</v>
      </c>
      <c r="E344" s="11" t="s">
        <v>48</v>
      </c>
      <c r="F344" s="5">
        <v>1044.78</v>
      </c>
      <c r="G344" s="13" t="s">
        <v>114</v>
      </c>
      <c r="H344" s="12">
        <f t="shared" si="5"/>
        <v>-1044.78</v>
      </c>
    </row>
    <row r="345" spans="1:8">
      <c r="A345" s="14">
        <v>340</v>
      </c>
      <c r="B345" s="9">
        <v>45764</v>
      </c>
      <c r="C345" s="10" t="s">
        <v>113</v>
      </c>
      <c r="D345" s="10" t="s">
        <v>16</v>
      </c>
      <c r="E345" s="11" t="s">
        <v>63</v>
      </c>
      <c r="F345" s="5">
        <v>6157.08</v>
      </c>
      <c r="G345" s="13" t="s">
        <v>114</v>
      </c>
      <c r="H345" s="12">
        <f t="shared" si="5"/>
        <v>-6157.08</v>
      </c>
    </row>
    <row r="346" spans="1:8">
      <c r="A346" s="14">
        <v>341</v>
      </c>
      <c r="B346" s="9">
        <v>45765</v>
      </c>
      <c r="C346" s="10" t="s">
        <v>113</v>
      </c>
      <c r="D346" s="10" t="s">
        <v>16</v>
      </c>
      <c r="E346" s="11" t="s">
        <v>33</v>
      </c>
      <c r="F346" s="5">
        <v>235.55</v>
      </c>
      <c r="G346" s="13" t="s">
        <v>114</v>
      </c>
      <c r="H346" s="12">
        <f t="shared" si="5"/>
        <v>-235.55</v>
      </c>
    </row>
    <row r="347" spans="1:8">
      <c r="A347" s="14">
        <v>342</v>
      </c>
      <c r="B347" s="9">
        <v>45765</v>
      </c>
      <c r="C347" s="10" t="s">
        <v>113</v>
      </c>
      <c r="D347" s="10" t="s">
        <v>15</v>
      </c>
      <c r="E347" s="11" t="s">
        <v>26</v>
      </c>
      <c r="F347" s="5">
        <v>3902.5</v>
      </c>
      <c r="G347" s="13" t="s">
        <v>114</v>
      </c>
      <c r="H347" s="12">
        <f t="shared" si="5"/>
        <v>-3902.5</v>
      </c>
    </row>
    <row r="348" spans="1:8">
      <c r="A348" s="14">
        <v>343</v>
      </c>
      <c r="B348" s="9">
        <v>45765</v>
      </c>
      <c r="C348" s="10" t="s">
        <v>113</v>
      </c>
      <c r="D348" s="10" t="s">
        <v>14</v>
      </c>
      <c r="E348" s="11" t="s">
        <v>34</v>
      </c>
      <c r="F348" s="5">
        <v>4467.01</v>
      </c>
      <c r="G348" s="13" t="s">
        <v>114</v>
      </c>
      <c r="H348" s="12">
        <f t="shared" si="5"/>
        <v>-4467.01</v>
      </c>
    </row>
    <row r="349" spans="1:8">
      <c r="A349" s="14">
        <v>344</v>
      </c>
      <c r="B349" s="9">
        <v>45765</v>
      </c>
      <c r="C349" s="10" t="s">
        <v>113</v>
      </c>
      <c r="D349" s="10" t="s">
        <v>15</v>
      </c>
      <c r="E349" s="11" t="s">
        <v>7</v>
      </c>
      <c r="F349" s="5">
        <v>966.78</v>
      </c>
      <c r="G349" s="13" t="s">
        <v>114</v>
      </c>
      <c r="H349" s="12">
        <f t="shared" si="5"/>
        <v>-966.78</v>
      </c>
    </row>
    <row r="350" spans="1:8">
      <c r="A350" s="14">
        <v>345</v>
      </c>
      <c r="B350" s="9">
        <v>45765</v>
      </c>
      <c r="C350" s="10" t="s">
        <v>113</v>
      </c>
      <c r="D350" s="10" t="s">
        <v>15</v>
      </c>
      <c r="E350" s="11" t="s">
        <v>26</v>
      </c>
      <c r="F350" s="5">
        <v>3066.67</v>
      </c>
      <c r="G350" s="13" t="s">
        <v>114</v>
      </c>
      <c r="H350" s="12">
        <f t="shared" si="5"/>
        <v>-3066.67</v>
      </c>
    </row>
    <row r="351" spans="1:8">
      <c r="A351" s="14">
        <v>346</v>
      </c>
      <c r="B351" s="9">
        <v>45766</v>
      </c>
      <c r="C351" s="10" t="s">
        <v>113</v>
      </c>
      <c r="D351" s="10" t="s">
        <v>10</v>
      </c>
      <c r="E351" s="11" t="s">
        <v>59</v>
      </c>
      <c r="F351" s="5">
        <v>1324.24</v>
      </c>
      <c r="G351" s="13" t="s">
        <v>114</v>
      </c>
      <c r="H351" s="12">
        <f t="shared" si="5"/>
        <v>-1324.24</v>
      </c>
    </row>
    <row r="352" spans="1:8">
      <c r="A352" s="14">
        <v>347</v>
      </c>
      <c r="B352" s="9">
        <v>45766</v>
      </c>
      <c r="C352" s="10" t="s">
        <v>113</v>
      </c>
      <c r="D352" s="10" t="s">
        <v>10</v>
      </c>
      <c r="E352" s="11" t="s">
        <v>70</v>
      </c>
      <c r="F352" s="5">
        <v>3165.48</v>
      </c>
      <c r="G352" s="13" t="s">
        <v>114</v>
      </c>
      <c r="H352" s="12">
        <f t="shared" si="5"/>
        <v>-3165.48</v>
      </c>
    </row>
    <row r="353" spans="1:8">
      <c r="A353" s="14">
        <v>348</v>
      </c>
      <c r="B353" s="9">
        <v>45766</v>
      </c>
      <c r="C353" s="10" t="s">
        <v>113</v>
      </c>
      <c r="D353" s="10" t="s">
        <v>14</v>
      </c>
      <c r="E353" s="11" t="s">
        <v>29</v>
      </c>
      <c r="F353" s="5">
        <v>897.83</v>
      </c>
      <c r="G353" s="13" t="s">
        <v>114</v>
      </c>
      <c r="H353" s="12">
        <f t="shared" si="5"/>
        <v>-897.83</v>
      </c>
    </row>
    <row r="354" spans="1:8">
      <c r="A354" s="14">
        <v>349</v>
      </c>
      <c r="B354" s="9">
        <v>45767</v>
      </c>
      <c r="C354" s="10" t="s">
        <v>113</v>
      </c>
      <c r="D354" s="10" t="s">
        <v>15</v>
      </c>
      <c r="E354" s="11" t="s">
        <v>26</v>
      </c>
      <c r="F354" s="5">
        <v>1143.69</v>
      </c>
      <c r="G354" s="13" t="s">
        <v>114</v>
      </c>
      <c r="H354" s="12">
        <f t="shared" si="5"/>
        <v>-1143.69</v>
      </c>
    </row>
    <row r="355" spans="1:8">
      <c r="A355" s="14">
        <v>350</v>
      </c>
      <c r="B355" s="9">
        <v>45767</v>
      </c>
      <c r="C355" s="10" t="s">
        <v>113</v>
      </c>
      <c r="D355" s="10" t="s">
        <v>10</v>
      </c>
      <c r="E355" s="11" t="s">
        <v>65</v>
      </c>
      <c r="F355" s="5">
        <v>1802.67</v>
      </c>
      <c r="G355" s="13" t="s">
        <v>114</v>
      </c>
      <c r="H355" s="12">
        <f t="shared" si="5"/>
        <v>-1802.67</v>
      </c>
    </row>
    <row r="356" spans="1:8">
      <c r="A356" s="14">
        <v>351</v>
      </c>
      <c r="B356" s="9">
        <v>45767</v>
      </c>
      <c r="C356" s="10" t="s">
        <v>113</v>
      </c>
      <c r="D356" s="10" t="s">
        <v>17</v>
      </c>
      <c r="E356" s="11" t="s">
        <v>20</v>
      </c>
      <c r="F356" s="5">
        <v>225.47</v>
      </c>
      <c r="G356" s="13" t="s">
        <v>114</v>
      </c>
      <c r="H356" s="12">
        <f t="shared" si="5"/>
        <v>-225.47</v>
      </c>
    </row>
    <row r="357" spans="1:8">
      <c r="A357" s="14">
        <v>352</v>
      </c>
      <c r="B357" s="9">
        <v>45768</v>
      </c>
      <c r="C357" s="10" t="s">
        <v>113</v>
      </c>
      <c r="D357" s="10" t="s">
        <v>15</v>
      </c>
      <c r="E357" s="11" t="s">
        <v>26</v>
      </c>
      <c r="F357" s="5">
        <v>2228.27</v>
      </c>
      <c r="G357" s="13" t="s">
        <v>114</v>
      </c>
      <c r="H357" s="12">
        <f t="shared" si="5"/>
        <v>-2228.27</v>
      </c>
    </row>
    <row r="358" spans="1:8">
      <c r="A358" s="14">
        <v>353</v>
      </c>
      <c r="B358" s="9">
        <v>45768</v>
      </c>
      <c r="C358" s="10" t="s">
        <v>113</v>
      </c>
      <c r="D358" s="10" t="s">
        <v>16</v>
      </c>
      <c r="E358" s="11" t="s">
        <v>57</v>
      </c>
      <c r="F358" s="5">
        <v>531.72</v>
      </c>
      <c r="G358" s="13" t="s">
        <v>114</v>
      </c>
      <c r="H358" s="12">
        <f t="shared" si="5"/>
        <v>-531.72</v>
      </c>
    </row>
    <row r="359" spans="1:8">
      <c r="A359" s="14">
        <v>354</v>
      </c>
      <c r="B359" s="9">
        <v>45768</v>
      </c>
      <c r="C359" s="10" t="s">
        <v>113</v>
      </c>
      <c r="D359" s="10" t="s">
        <v>9</v>
      </c>
      <c r="E359" s="11" t="s">
        <v>21</v>
      </c>
      <c r="F359" s="5">
        <v>3200.64</v>
      </c>
      <c r="G359" s="13" t="s">
        <v>114</v>
      </c>
      <c r="H359" s="12">
        <f t="shared" si="5"/>
        <v>-3200.64</v>
      </c>
    </row>
    <row r="360" spans="1:8">
      <c r="A360" s="14">
        <v>355</v>
      </c>
      <c r="B360" s="9">
        <v>45768</v>
      </c>
      <c r="C360" s="10" t="s">
        <v>113</v>
      </c>
      <c r="D360" s="10" t="s">
        <v>9</v>
      </c>
      <c r="E360" s="11" t="s">
        <v>21</v>
      </c>
      <c r="F360" s="5">
        <v>1968.11</v>
      </c>
      <c r="G360" s="13" t="s">
        <v>114</v>
      </c>
      <c r="H360" s="12">
        <f t="shared" si="5"/>
        <v>-1968.11</v>
      </c>
    </row>
    <row r="361" spans="1:8">
      <c r="A361" s="14">
        <v>356</v>
      </c>
      <c r="B361" s="9">
        <v>45769</v>
      </c>
      <c r="C361" s="10" t="s">
        <v>113</v>
      </c>
      <c r="D361" s="10" t="s">
        <v>17</v>
      </c>
      <c r="E361" s="11" t="s">
        <v>48</v>
      </c>
      <c r="F361" s="5">
        <v>2253.17</v>
      </c>
      <c r="G361" s="13" t="s">
        <v>114</v>
      </c>
      <c r="H361" s="12">
        <f t="shared" si="5"/>
        <v>-2253.17</v>
      </c>
    </row>
    <row r="362" spans="1:8">
      <c r="A362" s="14">
        <v>357</v>
      </c>
      <c r="B362" s="9">
        <v>45769</v>
      </c>
      <c r="C362" s="10" t="s">
        <v>113</v>
      </c>
      <c r="D362" s="10" t="s">
        <v>15</v>
      </c>
      <c r="E362" s="11" t="s">
        <v>61</v>
      </c>
      <c r="F362" s="5">
        <v>1983.3</v>
      </c>
      <c r="G362" s="13" t="s">
        <v>114</v>
      </c>
      <c r="H362" s="12">
        <f t="shared" si="5"/>
        <v>-1983.3</v>
      </c>
    </row>
    <row r="363" spans="1:8">
      <c r="A363" s="14">
        <v>358</v>
      </c>
      <c r="B363" s="9">
        <v>45769</v>
      </c>
      <c r="C363" s="10" t="s">
        <v>113</v>
      </c>
      <c r="D363" s="10" t="s">
        <v>16</v>
      </c>
      <c r="E363" s="11" t="s">
        <v>63</v>
      </c>
      <c r="F363" s="5">
        <v>3408.7</v>
      </c>
      <c r="G363" s="13" t="s">
        <v>114</v>
      </c>
      <c r="H363" s="12">
        <f t="shared" si="5"/>
        <v>-3408.7</v>
      </c>
    </row>
    <row r="364" spans="1:8">
      <c r="A364" s="14">
        <v>359</v>
      </c>
      <c r="B364" s="9">
        <v>45769</v>
      </c>
      <c r="C364" s="10" t="s">
        <v>113</v>
      </c>
      <c r="D364" s="10" t="s">
        <v>10</v>
      </c>
      <c r="E364" s="11" t="s">
        <v>65</v>
      </c>
      <c r="F364" s="5">
        <v>4202.6499999999996</v>
      </c>
      <c r="G364" s="13" t="s">
        <v>114</v>
      </c>
      <c r="H364" s="12">
        <f t="shared" si="5"/>
        <v>-4202.6499999999996</v>
      </c>
    </row>
    <row r="365" spans="1:8">
      <c r="A365" s="14">
        <v>360</v>
      </c>
      <c r="B365" s="9">
        <v>45769</v>
      </c>
      <c r="C365" s="10" t="s">
        <v>113</v>
      </c>
      <c r="D365" s="10" t="s">
        <v>15</v>
      </c>
      <c r="E365" s="11" t="s">
        <v>8</v>
      </c>
      <c r="F365" s="5">
        <v>6591.24</v>
      </c>
      <c r="G365" s="13" t="s">
        <v>114</v>
      </c>
      <c r="H365" s="12">
        <f t="shared" si="5"/>
        <v>-6591.24</v>
      </c>
    </row>
    <row r="366" spans="1:8">
      <c r="A366" s="14">
        <v>361</v>
      </c>
      <c r="B366" s="9">
        <v>45769</v>
      </c>
      <c r="C366" s="10" t="s">
        <v>113</v>
      </c>
      <c r="D366" s="10" t="s">
        <v>15</v>
      </c>
      <c r="E366" s="11" t="s">
        <v>43</v>
      </c>
      <c r="F366" s="5">
        <v>1228.3900000000001</v>
      </c>
      <c r="G366" s="13" t="s">
        <v>114</v>
      </c>
      <c r="H366" s="12">
        <f t="shared" si="5"/>
        <v>-1228.3900000000001</v>
      </c>
    </row>
    <row r="367" spans="1:8">
      <c r="A367" s="14">
        <v>362</v>
      </c>
      <c r="B367" s="9">
        <v>45770</v>
      </c>
      <c r="C367" s="10" t="s">
        <v>113</v>
      </c>
      <c r="D367" s="10" t="s">
        <v>10</v>
      </c>
      <c r="E367" s="11" t="s">
        <v>35</v>
      </c>
      <c r="F367" s="5">
        <v>7270.51</v>
      </c>
      <c r="G367" s="13" t="s">
        <v>114</v>
      </c>
      <c r="H367" s="12">
        <f t="shared" si="5"/>
        <v>-7270.51</v>
      </c>
    </row>
    <row r="368" spans="1:8">
      <c r="A368" s="14">
        <v>363</v>
      </c>
      <c r="B368" s="9">
        <v>45770</v>
      </c>
      <c r="C368" s="10" t="s">
        <v>113</v>
      </c>
      <c r="D368" s="10" t="s">
        <v>9</v>
      </c>
      <c r="E368" s="11" t="s">
        <v>27</v>
      </c>
      <c r="F368" s="5">
        <v>3411.32</v>
      </c>
      <c r="G368" s="13" t="s">
        <v>114</v>
      </c>
      <c r="H368" s="12">
        <f t="shared" si="5"/>
        <v>-3411.32</v>
      </c>
    </row>
    <row r="369" spans="1:8">
      <c r="A369" s="14">
        <v>364</v>
      </c>
      <c r="B369" s="9">
        <v>45770</v>
      </c>
      <c r="C369" s="10" t="s">
        <v>113</v>
      </c>
      <c r="D369" s="10" t="s">
        <v>17</v>
      </c>
      <c r="E369" s="11" t="s">
        <v>48</v>
      </c>
      <c r="F369" s="5">
        <v>2538.38</v>
      </c>
      <c r="G369" s="13" t="s">
        <v>114</v>
      </c>
      <c r="H369" s="12">
        <f t="shared" si="5"/>
        <v>-2538.38</v>
      </c>
    </row>
    <row r="370" spans="1:8">
      <c r="A370" s="14">
        <v>365</v>
      </c>
      <c r="B370" s="9">
        <v>45770</v>
      </c>
      <c r="C370" s="10" t="s">
        <v>113</v>
      </c>
      <c r="D370" s="10" t="s">
        <v>17</v>
      </c>
      <c r="E370" s="11" t="s">
        <v>25</v>
      </c>
      <c r="F370" s="5">
        <v>3501.54</v>
      </c>
      <c r="G370" s="13" t="s">
        <v>114</v>
      </c>
      <c r="H370" s="12">
        <f t="shared" si="5"/>
        <v>-3501.54</v>
      </c>
    </row>
    <row r="371" spans="1:8">
      <c r="A371" s="14">
        <v>366</v>
      </c>
      <c r="B371" s="9">
        <v>45770</v>
      </c>
      <c r="C371" s="10" t="s">
        <v>113</v>
      </c>
      <c r="D371" s="10" t="s">
        <v>10</v>
      </c>
      <c r="E371" s="11" t="s">
        <v>19</v>
      </c>
      <c r="F371" s="5">
        <v>15548.94</v>
      </c>
      <c r="G371" s="13" t="s">
        <v>114</v>
      </c>
      <c r="H371" s="12">
        <f t="shared" si="5"/>
        <v>-15548.94</v>
      </c>
    </row>
    <row r="372" spans="1:8">
      <c r="A372" s="14">
        <v>367</v>
      </c>
      <c r="B372" s="9">
        <v>45771</v>
      </c>
      <c r="C372" s="10" t="s">
        <v>113</v>
      </c>
      <c r="D372" s="10" t="s">
        <v>15</v>
      </c>
      <c r="E372" s="11" t="s">
        <v>43</v>
      </c>
      <c r="F372" s="5">
        <v>1800.26</v>
      </c>
      <c r="G372" s="13" t="s">
        <v>114</v>
      </c>
      <c r="H372" s="12">
        <f t="shared" si="5"/>
        <v>-1800.26</v>
      </c>
    </row>
    <row r="373" spans="1:8">
      <c r="A373" s="14">
        <v>368</v>
      </c>
      <c r="B373" s="9">
        <v>45771</v>
      </c>
      <c r="C373" s="10" t="s">
        <v>113</v>
      </c>
      <c r="D373" s="10" t="s">
        <v>14</v>
      </c>
      <c r="E373" s="11" t="s">
        <v>29</v>
      </c>
      <c r="F373" s="5">
        <v>2095.77</v>
      </c>
      <c r="G373" s="13" t="s">
        <v>114</v>
      </c>
      <c r="H373" s="12">
        <f t="shared" si="5"/>
        <v>-2095.77</v>
      </c>
    </row>
    <row r="374" spans="1:8">
      <c r="A374" s="14">
        <v>369</v>
      </c>
      <c r="B374" s="9">
        <v>45771</v>
      </c>
      <c r="C374" s="10" t="s">
        <v>113</v>
      </c>
      <c r="D374" s="10" t="s">
        <v>15</v>
      </c>
      <c r="E374" s="11" t="s">
        <v>55</v>
      </c>
      <c r="F374" s="5">
        <v>3677.22</v>
      </c>
      <c r="G374" s="13" t="s">
        <v>114</v>
      </c>
      <c r="H374" s="12">
        <f t="shared" si="5"/>
        <v>-3677.22</v>
      </c>
    </row>
    <row r="375" spans="1:8">
      <c r="A375" s="14">
        <v>370</v>
      </c>
      <c r="B375" s="9">
        <v>45774</v>
      </c>
      <c r="C375" s="10" t="s">
        <v>113</v>
      </c>
      <c r="D375" s="10" t="s">
        <v>10</v>
      </c>
      <c r="E375" s="11" t="s">
        <v>70</v>
      </c>
      <c r="F375" s="5">
        <v>3389.87</v>
      </c>
      <c r="G375" s="13" t="s">
        <v>114</v>
      </c>
      <c r="H375" s="12">
        <f t="shared" si="5"/>
        <v>-3389.87</v>
      </c>
    </row>
    <row r="376" spans="1:8">
      <c r="A376" s="14">
        <v>371</v>
      </c>
      <c r="B376" s="9">
        <v>45775</v>
      </c>
      <c r="C376" s="10" t="s">
        <v>113</v>
      </c>
      <c r="D376" s="10" t="s">
        <v>14</v>
      </c>
      <c r="E376" s="11" t="s">
        <v>23</v>
      </c>
      <c r="F376" s="5">
        <v>5803.04</v>
      </c>
      <c r="G376" s="13" t="s">
        <v>114</v>
      </c>
      <c r="H376" s="12">
        <f t="shared" si="5"/>
        <v>-5803.04</v>
      </c>
    </row>
    <row r="377" spans="1:8">
      <c r="A377" s="14">
        <v>372</v>
      </c>
      <c r="B377" s="9">
        <v>45775</v>
      </c>
      <c r="C377" s="10" t="s">
        <v>113</v>
      </c>
      <c r="D377" s="10" t="s">
        <v>15</v>
      </c>
      <c r="E377" s="11" t="s">
        <v>7</v>
      </c>
      <c r="F377" s="5">
        <v>1108.52</v>
      </c>
      <c r="G377" s="13" t="s">
        <v>114</v>
      </c>
      <c r="H377" s="12">
        <f t="shared" si="5"/>
        <v>-1108.52</v>
      </c>
    </row>
    <row r="378" spans="1:8">
      <c r="A378" s="14">
        <v>373</v>
      </c>
      <c r="B378" s="9">
        <v>45775</v>
      </c>
      <c r="C378" s="10" t="s">
        <v>113</v>
      </c>
      <c r="D378" s="10" t="s">
        <v>10</v>
      </c>
      <c r="E378" s="11" t="s">
        <v>47</v>
      </c>
      <c r="F378" s="5">
        <v>26436.16</v>
      </c>
      <c r="G378" s="13" t="s">
        <v>114</v>
      </c>
      <c r="H378" s="12">
        <f t="shared" si="5"/>
        <v>-26436.16</v>
      </c>
    </row>
    <row r="379" spans="1:8">
      <c r="A379" s="14">
        <v>374</v>
      </c>
      <c r="B379" s="9">
        <v>45775</v>
      </c>
      <c r="C379" s="10" t="s">
        <v>113</v>
      </c>
      <c r="D379" s="10" t="s">
        <v>15</v>
      </c>
      <c r="E379" s="11" t="s">
        <v>71</v>
      </c>
      <c r="F379" s="5">
        <v>502.61</v>
      </c>
      <c r="G379" s="13" t="s">
        <v>114</v>
      </c>
      <c r="H379" s="12">
        <f t="shared" si="5"/>
        <v>-502.61</v>
      </c>
    </row>
    <row r="380" spans="1:8">
      <c r="A380" s="14">
        <v>375</v>
      </c>
      <c r="B380" s="9">
        <v>45776</v>
      </c>
      <c r="C380" s="10" t="s">
        <v>113</v>
      </c>
      <c r="D380" s="10" t="s">
        <v>9</v>
      </c>
      <c r="E380" s="11" t="s">
        <v>67</v>
      </c>
      <c r="F380" s="5">
        <v>1851.54</v>
      </c>
      <c r="G380" s="13" t="s">
        <v>114</v>
      </c>
      <c r="H380" s="12">
        <f t="shared" si="5"/>
        <v>-1851.54</v>
      </c>
    </row>
    <row r="381" spans="1:8">
      <c r="A381" s="14">
        <v>376</v>
      </c>
      <c r="B381" s="9">
        <v>45776</v>
      </c>
      <c r="C381" s="10" t="s">
        <v>113</v>
      </c>
      <c r="D381" s="10" t="s">
        <v>9</v>
      </c>
      <c r="E381" s="11" t="s">
        <v>62</v>
      </c>
      <c r="F381" s="5">
        <v>3879.88</v>
      </c>
      <c r="G381" s="13" t="s">
        <v>114</v>
      </c>
      <c r="H381" s="12">
        <f t="shared" si="5"/>
        <v>-3879.88</v>
      </c>
    </row>
    <row r="382" spans="1:8">
      <c r="A382" s="14">
        <v>377</v>
      </c>
      <c r="B382" s="9">
        <v>45776</v>
      </c>
      <c r="C382" s="10" t="s">
        <v>113</v>
      </c>
      <c r="D382" s="10" t="s">
        <v>15</v>
      </c>
      <c r="E382" s="11" t="s">
        <v>37</v>
      </c>
      <c r="F382" s="5">
        <v>560.28</v>
      </c>
      <c r="G382" s="13" t="s">
        <v>114</v>
      </c>
      <c r="H382" s="12">
        <f t="shared" si="5"/>
        <v>-560.28</v>
      </c>
    </row>
    <row r="383" spans="1:8">
      <c r="A383" s="14">
        <v>378</v>
      </c>
      <c r="B383" s="9">
        <v>45776</v>
      </c>
      <c r="C383" s="10" t="s">
        <v>113</v>
      </c>
      <c r="D383" s="10" t="s">
        <v>15</v>
      </c>
      <c r="E383" s="11" t="s">
        <v>8</v>
      </c>
      <c r="F383" s="5">
        <v>5349.59</v>
      </c>
      <c r="G383" s="13" t="s">
        <v>114</v>
      </c>
      <c r="H383" s="12">
        <f t="shared" si="5"/>
        <v>-5349.59</v>
      </c>
    </row>
    <row r="384" spans="1:8">
      <c r="A384" s="14">
        <v>379</v>
      </c>
      <c r="B384" s="9">
        <v>45776</v>
      </c>
      <c r="C384" s="10" t="s">
        <v>113</v>
      </c>
      <c r="D384" s="10" t="s">
        <v>9</v>
      </c>
      <c r="E384" s="11" t="s">
        <v>67</v>
      </c>
      <c r="F384" s="5">
        <v>1181.3399999999999</v>
      </c>
      <c r="G384" s="13" t="s">
        <v>114</v>
      </c>
      <c r="H384" s="12">
        <f t="shared" si="5"/>
        <v>-1181.3399999999999</v>
      </c>
    </row>
    <row r="385" spans="1:8">
      <c r="A385" s="14">
        <v>380</v>
      </c>
      <c r="B385" s="9">
        <v>45776</v>
      </c>
      <c r="C385" s="10" t="s">
        <v>113</v>
      </c>
      <c r="D385" s="10" t="s">
        <v>16</v>
      </c>
      <c r="E385" s="11" t="s">
        <v>73</v>
      </c>
      <c r="F385" s="5">
        <v>1556.03</v>
      </c>
      <c r="G385" s="13" t="s">
        <v>114</v>
      </c>
      <c r="H385" s="12">
        <f t="shared" si="5"/>
        <v>-1556.03</v>
      </c>
    </row>
    <row r="386" spans="1:8">
      <c r="A386" s="14">
        <v>381</v>
      </c>
      <c r="B386" s="9">
        <v>45776</v>
      </c>
      <c r="C386" s="10" t="s">
        <v>113</v>
      </c>
      <c r="D386" s="10" t="s">
        <v>17</v>
      </c>
      <c r="E386" s="11" t="s">
        <v>20</v>
      </c>
      <c r="F386" s="5">
        <v>199.83</v>
      </c>
      <c r="G386" s="13" t="s">
        <v>114</v>
      </c>
      <c r="H386" s="12">
        <f t="shared" si="5"/>
        <v>-199.83</v>
      </c>
    </row>
    <row r="387" spans="1:8">
      <c r="A387" s="14">
        <v>382</v>
      </c>
      <c r="B387" s="9">
        <v>45776</v>
      </c>
      <c r="C387" s="10" t="s">
        <v>113</v>
      </c>
      <c r="D387" s="10" t="s">
        <v>15</v>
      </c>
      <c r="E387" s="11" t="s">
        <v>49</v>
      </c>
      <c r="F387" s="5">
        <v>1431.59</v>
      </c>
      <c r="G387" s="13" t="s">
        <v>114</v>
      </c>
      <c r="H387" s="12">
        <f t="shared" si="5"/>
        <v>-1431.59</v>
      </c>
    </row>
    <row r="388" spans="1:8">
      <c r="A388" s="14">
        <v>383</v>
      </c>
      <c r="B388" s="9">
        <v>45777</v>
      </c>
      <c r="C388" s="10" t="s">
        <v>113</v>
      </c>
      <c r="D388" s="10" t="s">
        <v>9</v>
      </c>
      <c r="E388" s="11" t="s">
        <v>21</v>
      </c>
      <c r="F388" s="5">
        <v>2974.65</v>
      </c>
      <c r="G388" s="13" t="s">
        <v>114</v>
      </c>
      <c r="H388" s="12">
        <f t="shared" si="5"/>
        <v>-2974.65</v>
      </c>
    </row>
    <row r="389" spans="1:8">
      <c r="A389" s="14">
        <v>384</v>
      </c>
      <c r="B389" s="9">
        <v>45777</v>
      </c>
      <c r="C389" s="10" t="s">
        <v>113</v>
      </c>
      <c r="D389" s="10" t="s">
        <v>16</v>
      </c>
      <c r="E389" s="11" t="s">
        <v>51</v>
      </c>
      <c r="F389" s="5">
        <v>793.24</v>
      </c>
      <c r="G389" s="13" t="s">
        <v>114</v>
      </c>
      <c r="H389" s="12">
        <f t="shared" ref="H389:H452" si="6">IF(C389="Despesa", F389*-1, F389)</f>
        <v>-793.24</v>
      </c>
    </row>
    <row r="390" spans="1:8">
      <c r="A390" s="14">
        <v>385</v>
      </c>
      <c r="B390" s="9">
        <v>45778</v>
      </c>
      <c r="C390" s="10" t="s">
        <v>113</v>
      </c>
      <c r="D390" s="10" t="s">
        <v>14</v>
      </c>
      <c r="E390" s="11" t="s">
        <v>74</v>
      </c>
      <c r="F390" s="5">
        <v>945.8</v>
      </c>
      <c r="G390" s="13" t="s">
        <v>114</v>
      </c>
      <c r="H390" s="12">
        <f t="shared" si="6"/>
        <v>-945.8</v>
      </c>
    </row>
    <row r="391" spans="1:8">
      <c r="A391" s="14">
        <v>386</v>
      </c>
      <c r="B391" s="9">
        <v>45778</v>
      </c>
      <c r="C391" s="10" t="s">
        <v>113</v>
      </c>
      <c r="D391" s="10" t="s">
        <v>14</v>
      </c>
      <c r="E391" s="11" t="s">
        <v>64</v>
      </c>
      <c r="F391" s="5">
        <v>3200.85</v>
      </c>
      <c r="G391" s="13" t="s">
        <v>114</v>
      </c>
      <c r="H391" s="12">
        <f t="shared" si="6"/>
        <v>-3200.85</v>
      </c>
    </row>
    <row r="392" spans="1:8">
      <c r="A392" s="14">
        <v>387</v>
      </c>
      <c r="B392" s="9">
        <v>45778</v>
      </c>
      <c r="C392" s="10" t="s">
        <v>113</v>
      </c>
      <c r="D392" s="10" t="s">
        <v>9</v>
      </c>
      <c r="E392" s="11" t="s">
        <v>27</v>
      </c>
      <c r="F392" s="5">
        <v>3089.32</v>
      </c>
      <c r="G392" s="13" t="s">
        <v>114</v>
      </c>
      <c r="H392" s="12">
        <f t="shared" si="6"/>
        <v>-3089.32</v>
      </c>
    </row>
    <row r="393" spans="1:8">
      <c r="A393" s="14">
        <v>388</v>
      </c>
      <c r="B393" s="9">
        <v>45778</v>
      </c>
      <c r="C393" s="10" t="s">
        <v>113</v>
      </c>
      <c r="D393" s="10" t="s">
        <v>16</v>
      </c>
      <c r="E393" s="11" t="s">
        <v>39</v>
      </c>
      <c r="F393" s="5">
        <v>578.25</v>
      </c>
      <c r="G393" s="13" t="s">
        <v>114</v>
      </c>
      <c r="H393" s="12">
        <f t="shared" si="6"/>
        <v>-578.25</v>
      </c>
    </row>
    <row r="394" spans="1:8">
      <c r="A394" s="14">
        <v>389</v>
      </c>
      <c r="B394" s="9">
        <v>45778</v>
      </c>
      <c r="C394" s="10" t="s">
        <v>113</v>
      </c>
      <c r="D394" s="10" t="s">
        <v>16</v>
      </c>
      <c r="E394" s="11" t="s">
        <v>51</v>
      </c>
      <c r="F394" s="5">
        <v>1094.1400000000001</v>
      </c>
      <c r="G394" s="13" t="s">
        <v>114</v>
      </c>
      <c r="H394" s="12">
        <f t="shared" si="6"/>
        <v>-1094.1400000000001</v>
      </c>
    </row>
    <row r="395" spans="1:8">
      <c r="A395" s="14">
        <v>390</v>
      </c>
      <c r="B395" s="9">
        <v>45778</v>
      </c>
      <c r="C395" s="10" t="s">
        <v>113</v>
      </c>
      <c r="D395" s="10" t="s">
        <v>15</v>
      </c>
      <c r="E395" s="11" t="s">
        <v>37</v>
      </c>
      <c r="F395" s="5">
        <v>640.42999999999995</v>
      </c>
      <c r="G395" s="13" t="s">
        <v>114</v>
      </c>
      <c r="H395" s="12">
        <f t="shared" si="6"/>
        <v>-640.42999999999995</v>
      </c>
    </row>
    <row r="396" spans="1:8">
      <c r="A396" s="14">
        <v>391</v>
      </c>
      <c r="B396" s="9">
        <v>45778</v>
      </c>
      <c r="C396" s="10" t="s">
        <v>113</v>
      </c>
      <c r="D396" s="10" t="s">
        <v>9</v>
      </c>
      <c r="E396" s="11" t="s">
        <v>50</v>
      </c>
      <c r="F396" s="5">
        <v>939.22</v>
      </c>
      <c r="G396" s="13" t="s">
        <v>114</v>
      </c>
      <c r="H396" s="12">
        <f t="shared" si="6"/>
        <v>-939.22</v>
      </c>
    </row>
    <row r="397" spans="1:8">
      <c r="A397" s="14">
        <v>392</v>
      </c>
      <c r="B397" s="9">
        <v>45778</v>
      </c>
      <c r="C397" s="10" t="s">
        <v>113</v>
      </c>
      <c r="D397" s="10" t="s">
        <v>14</v>
      </c>
      <c r="E397" s="11" t="s">
        <v>29</v>
      </c>
      <c r="F397" s="5">
        <v>1860.68</v>
      </c>
      <c r="G397" s="13" t="s">
        <v>114</v>
      </c>
      <c r="H397" s="12">
        <f t="shared" si="6"/>
        <v>-1860.68</v>
      </c>
    </row>
    <row r="398" spans="1:8">
      <c r="A398" s="14">
        <v>393</v>
      </c>
      <c r="B398" s="9">
        <v>45778</v>
      </c>
      <c r="C398" s="10" t="s">
        <v>113</v>
      </c>
      <c r="D398" s="10" t="s">
        <v>14</v>
      </c>
      <c r="E398" s="11" t="s">
        <v>46</v>
      </c>
      <c r="F398" s="5">
        <v>1539.21</v>
      </c>
      <c r="G398" s="13" t="s">
        <v>114</v>
      </c>
      <c r="H398" s="12">
        <f t="shared" si="6"/>
        <v>-1539.21</v>
      </c>
    </row>
    <row r="399" spans="1:8">
      <c r="A399" s="14">
        <v>394</v>
      </c>
      <c r="B399" s="9">
        <v>45779</v>
      </c>
      <c r="C399" s="10" t="s">
        <v>113</v>
      </c>
      <c r="D399" s="10" t="s">
        <v>17</v>
      </c>
      <c r="E399" s="11" t="s">
        <v>31</v>
      </c>
      <c r="F399" s="5">
        <v>2251.61</v>
      </c>
      <c r="G399" s="13" t="s">
        <v>114</v>
      </c>
      <c r="H399" s="12">
        <f t="shared" si="6"/>
        <v>-2251.61</v>
      </c>
    </row>
    <row r="400" spans="1:8">
      <c r="A400" s="14">
        <v>395</v>
      </c>
      <c r="B400" s="9">
        <v>45779</v>
      </c>
      <c r="C400" s="10" t="s">
        <v>113</v>
      </c>
      <c r="D400" s="10" t="s">
        <v>10</v>
      </c>
      <c r="E400" s="11" t="s">
        <v>53</v>
      </c>
      <c r="F400" s="5">
        <v>4248</v>
      </c>
      <c r="G400" s="13" t="s">
        <v>114</v>
      </c>
      <c r="H400" s="12">
        <f t="shared" si="6"/>
        <v>-4248</v>
      </c>
    </row>
    <row r="401" spans="1:8">
      <c r="A401" s="14">
        <v>396</v>
      </c>
      <c r="B401" s="9">
        <v>45779</v>
      </c>
      <c r="C401" s="10" t="s">
        <v>113</v>
      </c>
      <c r="D401" s="10" t="s">
        <v>15</v>
      </c>
      <c r="E401" s="11" t="s">
        <v>7</v>
      </c>
      <c r="F401" s="5">
        <v>1026.43</v>
      </c>
      <c r="G401" s="13" t="s">
        <v>114</v>
      </c>
      <c r="H401" s="12">
        <f t="shared" si="6"/>
        <v>-1026.43</v>
      </c>
    </row>
    <row r="402" spans="1:8">
      <c r="A402" s="14">
        <v>397</v>
      </c>
      <c r="B402" s="9">
        <v>45779</v>
      </c>
      <c r="C402" s="10" t="s">
        <v>113</v>
      </c>
      <c r="D402" s="10" t="s">
        <v>15</v>
      </c>
      <c r="E402" s="11" t="s">
        <v>61</v>
      </c>
      <c r="F402" s="5">
        <v>2460.6999999999998</v>
      </c>
      <c r="G402" s="13" t="s">
        <v>114</v>
      </c>
      <c r="H402" s="12">
        <f t="shared" si="6"/>
        <v>-2460.6999999999998</v>
      </c>
    </row>
    <row r="403" spans="1:8">
      <c r="A403" s="14">
        <v>398</v>
      </c>
      <c r="B403" s="9">
        <v>45779</v>
      </c>
      <c r="C403" s="10" t="s">
        <v>113</v>
      </c>
      <c r="D403" s="10" t="s">
        <v>14</v>
      </c>
      <c r="E403" s="11" t="s">
        <v>46</v>
      </c>
      <c r="F403" s="5">
        <v>1594.2</v>
      </c>
      <c r="G403" s="13" t="s">
        <v>114</v>
      </c>
      <c r="H403" s="12">
        <f t="shared" si="6"/>
        <v>-1594.2</v>
      </c>
    </row>
    <row r="404" spans="1:8">
      <c r="A404" s="14">
        <v>399</v>
      </c>
      <c r="B404" s="9">
        <v>45779</v>
      </c>
      <c r="C404" s="10" t="s">
        <v>113</v>
      </c>
      <c r="D404" s="10" t="s">
        <v>10</v>
      </c>
      <c r="E404" s="11" t="s">
        <v>24</v>
      </c>
      <c r="F404" s="5">
        <v>3051.22</v>
      </c>
      <c r="G404" s="13" t="s">
        <v>114</v>
      </c>
      <c r="H404" s="12">
        <f t="shared" si="6"/>
        <v>-3051.22</v>
      </c>
    </row>
    <row r="405" spans="1:8">
      <c r="A405" s="14">
        <v>400</v>
      </c>
      <c r="B405" s="9">
        <v>45780</v>
      </c>
      <c r="C405" s="10" t="s">
        <v>113</v>
      </c>
      <c r="D405" s="10" t="s">
        <v>9</v>
      </c>
      <c r="E405" s="11" t="s">
        <v>27</v>
      </c>
      <c r="F405" s="5">
        <v>3164.18</v>
      </c>
      <c r="G405" s="13" t="s">
        <v>114</v>
      </c>
      <c r="H405" s="12">
        <f t="shared" si="6"/>
        <v>-3164.18</v>
      </c>
    </row>
    <row r="406" spans="1:8">
      <c r="A406" s="14">
        <v>401</v>
      </c>
      <c r="B406" s="9">
        <v>45780</v>
      </c>
      <c r="C406" s="10" t="s">
        <v>113</v>
      </c>
      <c r="D406" s="10" t="s">
        <v>14</v>
      </c>
      <c r="E406" s="11" t="s">
        <v>40</v>
      </c>
      <c r="F406" s="5">
        <v>4092.76</v>
      </c>
      <c r="G406" s="13" t="s">
        <v>114</v>
      </c>
      <c r="H406" s="12">
        <f t="shared" si="6"/>
        <v>-4092.76</v>
      </c>
    </row>
    <row r="407" spans="1:8">
      <c r="A407" s="14">
        <v>402</v>
      </c>
      <c r="B407" s="9">
        <v>45780</v>
      </c>
      <c r="C407" s="10" t="s">
        <v>113</v>
      </c>
      <c r="D407" s="10" t="s">
        <v>16</v>
      </c>
      <c r="E407" s="11" t="s">
        <v>33</v>
      </c>
      <c r="F407" s="5">
        <v>1338.8</v>
      </c>
      <c r="G407" s="13" t="s">
        <v>114</v>
      </c>
      <c r="H407" s="12">
        <f t="shared" si="6"/>
        <v>-1338.8</v>
      </c>
    </row>
    <row r="408" spans="1:8">
      <c r="A408" s="14">
        <v>403</v>
      </c>
      <c r="B408" s="9">
        <v>45781</v>
      </c>
      <c r="C408" s="10" t="s">
        <v>113</v>
      </c>
      <c r="D408" s="10" t="s">
        <v>15</v>
      </c>
      <c r="E408" s="11" t="s">
        <v>37</v>
      </c>
      <c r="F408" s="5">
        <v>492.57</v>
      </c>
      <c r="G408" s="13" t="s">
        <v>114</v>
      </c>
      <c r="H408" s="12">
        <f t="shared" si="6"/>
        <v>-492.57</v>
      </c>
    </row>
    <row r="409" spans="1:8">
      <c r="A409" s="14">
        <v>404</v>
      </c>
      <c r="B409" s="9">
        <v>45781</v>
      </c>
      <c r="C409" s="10" t="s">
        <v>113</v>
      </c>
      <c r="D409" s="10" t="s">
        <v>15</v>
      </c>
      <c r="E409" s="11" t="s">
        <v>55</v>
      </c>
      <c r="F409" s="5">
        <v>1935.93</v>
      </c>
      <c r="G409" s="13" t="s">
        <v>114</v>
      </c>
      <c r="H409" s="12">
        <f t="shared" si="6"/>
        <v>-1935.93</v>
      </c>
    </row>
    <row r="410" spans="1:8">
      <c r="A410" s="14">
        <v>405</v>
      </c>
      <c r="B410" s="9">
        <v>45782</v>
      </c>
      <c r="C410" s="10" t="s">
        <v>113</v>
      </c>
      <c r="D410" s="10" t="s">
        <v>17</v>
      </c>
      <c r="E410" s="11" t="s">
        <v>25</v>
      </c>
      <c r="F410" s="5">
        <v>1298.18</v>
      </c>
      <c r="G410" s="13" t="s">
        <v>114</v>
      </c>
      <c r="H410" s="12">
        <f t="shared" si="6"/>
        <v>-1298.18</v>
      </c>
    </row>
    <row r="411" spans="1:8">
      <c r="A411" s="14">
        <v>406</v>
      </c>
      <c r="B411" s="9">
        <v>45782</v>
      </c>
      <c r="C411" s="10" t="s">
        <v>113</v>
      </c>
      <c r="D411" s="10" t="s">
        <v>14</v>
      </c>
      <c r="E411" s="11" t="s">
        <v>46</v>
      </c>
      <c r="F411" s="5">
        <v>1550.6</v>
      </c>
      <c r="G411" s="13" t="s">
        <v>114</v>
      </c>
      <c r="H411" s="12">
        <f t="shared" si="6"/>
        <v>-1550.6</v>
      </c>
    </row>
    <row r="412" spans="1:8">
      <c r="A412" s="14">
        <v>407</v>
      </c>
      <c r="B412" s="9">
        <v>45782</v>
      </c>
      <c r="C412" s="10" t="s">
        <v>113</v>
      </c>
      <c r="D412" s="10" t="s">
        <v>16</v>
      </c>
      <c r="E412" s="11" t="s">
        <v>45</v>
      </c>
      <c r="F412" s="5">
        <v>5242.83</v>
      </c>
      <c r="G412" s="13" t="s">
        <v>114</v>
      </c>
      <c r="H412" s="12">
        <f t="shared" si="6"/>
        <v>-5242.83</v>
      </c>
    </row>
    <row r="413" spans="1:8">
      <c r="A413" s="14">
        <v>408</v>
      </c>
      <c r="B413" s="9">
        <v>45782</v>
      </c>
      <c r="C413" s="10" t="s">
        <v>113</v>
      </c>
      <c r="D413" s="10" t="s">
        <v>10</v>
      </c>
      <c r="E413" s="11" t="s">
        <v>24</v>
      </c>
      <c r="F413" s="5">
        <v>5522.22</v>
      </c>
      <c r="G413" s="13" t="s">
        <v>114</v>
      </c>
      <c r="H413" s="12">
        <f t="shared" si="6"/>
        <v>-5522.22</v>
      </c>
    </row>
    <row r="414" spans="1:8">
      <c r="A414" s="14">
        <v>409</v>
      </c>
      <c r="B414" s="9">
        <v>45782</v>
      </c>
      <c r="C414" s="10" t="s">
        <v>113</v>
      </c>
      <c r="D414" s="10" t="s">
        <v>17</v>
      </c>
      <c r="E414" s="11" t="s">
        <v>25</v>
      </c>
      <c r="F414" s="5">
        <v>3193.29</v>
      </c>
      <c r="G414" s="13" t="s">
        <v>114</v>
      </c>
      <c r="H414" s="12">
        <f t="shared" si="6"/>
        <v>-3193.29</v>
      </c>
    </row>
    <row r="415" spans="1:8">
      <c r="A415" s="14">
        <v>410</v>
      </c>
      <c r="B415" s="9">
        <v>45783</v>
      </c>
      <c r="C415" s="10" t="s">
        <v>113</v>
      </c>
      <c r="D415" s="10" t="s">
        <v>14</v>
      </c>
      <c r="E415" s="11" t="s">
        <v>64</v>
      </c>
      <c r="F415" s="5">
        <v>2919.79</v>
      </c>
      <c r="G415" s="13" t="s">
        <v>114</v>
      </c>
      <c r="H415" s="12">
        <f t="shared" si="6"/>
        <v>-2919.79</v>
      </c>
    </row>
    <row r="416" spans="1:8">
      <c r="A416" s="14">
        <v>411</v>
      </c>
      <c r="B416" s="9">
        <v>45783</v>
      </c>
      <c r="C416" s="10" t="s">
        <v>113</v>
      </c>
      <c r="D416" s="10" t="s">
        <v>9</v>
      </c>
      <c r="E416" s="11" t="s">
        <v>27</v>
      </c>
      <c r="F416" s="5">
        <v>3683.06</v>
      </c>
      <c r="G416" s="13" t="s">
        <v>114</v>
      </c>
      <c r="H416" s="12">
        <f t="shared" si="6"/>
        <v>-3683.06</v>
      </c>
    </row>
    <row r="417" spans="1:8">
      <c r="A417" s="14">
        <v>412</v>
      </c>
      <c r="B417" s="9">
        <v>45783</v>
      </c>
      <c r="C417" s="10" t="s">
        <v>113</v>
      </c>
      <c r="D417" s="10" t="s">
        <v>16</v>
      </c>
      <c r="E417" s="11" t="s">
        <v>22</v>
      </c>
      <c r="F417" s="5">
        <v>2816.09</v>
      </c>
      <c r="G417" s="13" t="s">
        <v>114</v>
      </c>
      <c r="H417" s="12">
        <f t="shared" si="6"/>
        <v>-2816.09</v>
      </c>
    </row>
    <row r="418" spans="1:8">
      <c r="A418" s="14">
        <v>413</v>
      </c>
      <c r="B418" s="9">
        <v>45783</v>
      </c>
      <c r="C418" s="10" t="s">
        <v>113</v>
      </c>
      <c r="D418" s="10" t="s">
        <v>10</v>
      </c>
      <c r="E418" s="11" t="s">
        <v>19</v>
      </c>
      <c r="F418" s="5">
        <v>19749.259999999998</v>
      </c>
      <c r="G418" s="13" t="s">
        <v>114</v>
      </c>
      <c r="H418" s="12">
        <f t="shared" si="6"/>
        <v>-19749.259999999998</v>
      </c>
    </row>
    <row r="419" spans="1:8">
      <c r="A419" s="14">
        <v>414</v>
      </c>
      <c r="B419" s="9">
        <v>45783</v>
      </c>
      <c r="C419" s="10" t="s">
        <v>113</v>
      </c>
      <c r="D419" s="10" t="s">
        <v>15</v>
      </c>
      <c r="E419" s="11" t="s">
        <v>55</v>
      </c>
      <c r="F419" s="5">
        <v>3843.62</v>
      </c>
      <c r="G419" s="13" t="s">
        <v>114</v>
      </c>
      <c r="H419" s="12">
        <f t="shared" si="6"/>
        <v>-3843.62</v>
      </c>
    </row>
    <row r="420" spans="1:8">
      <c r="A420" s="14">
        <v>415</v>
      </c>
      <c r="B420" s="9">
        <v>45783</v>
      </c>
      <c r="C420" s="10" t="s">
        <v>113</v>
      </c>
      <c r="D420" s="10" t="s">
        <v>10</v>
      </c>
      <c r="E420" s="11" t="s">
        <v>70</v>
      </c>
      <c r="F420" s="5">
        <v>4591.8599999999997</v>
      </c>
      <c r="G420" s="13" t="s">
        <v>114</v>
      </c>
      <c r="H420" s="12">
        <f t="shared" si="6"/>
        <v>-4591.8599999999997</v>
      </c>
    </row>
    <row r="421" spans="1:8">
      <c r="A421" s="14">
        <v>416</v>
      </c>
      <c r="B421" s="9">
        <v>45784</v>
      </c>
      <c r="C421" s="10" t="s">
        <v>113</v>
      </c>
      <c r="D421" s="10" t="s">
        <v>17</v>
      </c>
      <c r="E421" s="11" t="s">
        <v>20</v>
      </c>
      <c r="F421" s="5">
        <v>219.59</v>
      </c>
      <c r="G421" s="13" t="s">
        <v>114</v>
      </c>
      <c r="H421" s="12">
        <f t="shared" si="6"/>
        <v>-219.59</v>
      </c>
    </row>
    <row r="422" spans="1:8">
      <c r="A422" s="14">
        <v>417</v>
      </c>
      <c r="B422" s="9">
        <v>45784</v>
      </c>
      <c r="C422" s="10" t="s">
        <v>113</v>
      </c>
      <c r="D422" s="10" t="s">
        <v>10</v>
      </c>
      <c r="E422" s="11" t="s">
        <v>47</v>
      </c>
      <c r="F422" s="5">
        <v>12990.74</v>
      </c>
      <c r="G422" s="13" t="s">
        <v>114</v>
      </c>
      <c r="H422" s="12">
        <f t="shared" si="6"/>
        <v>-12990.74</v>
      </c>
    </row>
    <row r="423" spans="1:8">
      <c r="A423" s="14">
        <v>418</v>
      </c>
      <c r="B423" s="9">
        <v>45784</v>
      </c>
      <c r="C423" s="10" t="s">
        <v>113</v>
      </c>
      <c r="D423" s="10" t="s">
        <v>16</v>
      </c>
      <c r="E423" s="11" t="s">
        <v>57</v>
      </c>
      <c r="F423" s="5">
        <v>1253.8399999999999</v>
      </c>
      <c r="G423" s="13" t="s">
        <v>114</v>
      </c>
      <c r="H423" s="12">
        <f t="shared" si="6"/>
        <v>-1253.8399999999999</v>
      </c>
    </row>
    <row r="424" spans="1:8">
      <c r="A424" s="14">
        <v>419</v>
      </c>
      <c r="B424" s="9">
        <v>45784</v>
      </c>
      <c r="C424" s="10" t="s">
        <v>113</v>
      </c>
      <c r="D424" s="10" t="s">
        <v>9</v>
      </c>
      <c r="E424" s="11" t="s">
        <v>44</v>
      </c>
      <c r="F424" s="5">
        <v>1371.74</v>
      </c>
      <c r="G424" s="13" t="s">
        <v>114</v>
      </c>
      <c r="H424" s="12">
        <f t="shared" si="6"/>
        <v>-1371.74</v>
      </c>
    </row>
    <row r="425" spans="1:8">
      <c r="A425" s="14">
        <v>420</v>
      </c>
      <c r="B425" s="9">
        <v>45784</v>
      </c>
      <c r="C425" s="10" t="s">
        <v>113</v>
      </c>
      <c r="D425" s="10" t="s">
        <v>16</v>
      </c>
      <c r="E425" s="11" t="s">
        <v>22</v>
      </c>
      <c r="F425" s="5">
        <v>2902.49</v>
      </c>
      <c r="G425" s="13" t="s">
        <v>114</v>
      </c>
      <c r="H425" s="12">
        <f t="shared" si="6"/>
        <v>-2902.49</v>
      </c>
    </row>
    <row r="426" spans="1:8">
      <c r="A426" s="14">
        <v>421</v>
      </c>
      <c r="B426" s="9">
        <v>45784</v>
      </c>
      <c r="C426" s="10" t="s">
        <v>113</v>
      </c>
      <c r="D426" s="10" t="s">
        <v>16</v>
      </c>
      <c r="E426" s="11" t="s">
        <v>63</v>
      </c>
      <c r="F426" s="5">
        <v>5477.59</v>
      </c>
      <c r="G426" s="13" t="s">
        <v>114</v>
      </c>
      <c r="H426" s="12">
        <f t="shared" si="6"/>
        <v>-5477.59</v>
      </c>
    </row>
    <row r="427" spans="1:8">
      <c r="A427" s="14">
        <v>422</v>
      </c>
      <c r="B427" s="9">
        <v>45785</v>
      </c>
      <c r="C427" s="10" t="s">
        <v>113</v>
      </c>
      <c r="D427" s="10" t="s">
        <v>16</v>
      </c>
      <c r="E427" s="11" t="s">
        <v>39</v>
      </c>
      <c r="F427" s="5">
        <v>533.54999999999995</v>
      </c>
      <c r="G427" s="13" t="s">
        <v>114</v>
      </c>
      <c r="H427" s="12">
        <f t="shared" si="6"/>
        <v>-533.54999999999995</v>
      </c>
    </row>
    <row r="428" spans="1:8">
      <c r="A428" s="14">
        <v>423</v>
      </c>
      <c r="B428" s="9">
        <v>45785</v>
      </c>
      <c r="C428" s="10" t="s">
        <v>113</v>
      </c>
      <c r="D428" s="10" t="s">
        <v>10</v>
      </c>
      <c r="E428" s="11" t="s">
        <v>30</v>
      </c>
      <c r="F428" s="5">
        <v>4555.22</v>
      </c>
      <c r="G428" s="13" t="s">
        <v>114</v>
      </c>
      <c r="H428" s="12">
        <f t="shared" si="6"/>
        <v>-4555.22</v>
      </c>
    </row>
    <row r="429" spans="1:8">
      <c r="A429" s="14">
        <v>424</v>
      </c>
      <c r="B429" s="9">
        <v>45785</v>
      </c>
      <c r="C429" s="10" t="s">
        <v>113</v>
      </c>
      <c r="D429" s="10" t="s">
        <v>17</v>
      </c>
      <c r="E429" s="11" t="s">
        <v>20</v>
      </c>
      <c r="F429" s="5">
        <v>567.21</v>
      </c>
      <c r="G429" s="13" t="s">
        <v>114</v>
      </c>
      <c r="H429" s="12">
        <f t="shared" si="6"/>
        <v>-567.21</v>
      </c>
    </row>
    <row r="430" spans="1:8">
      <c r="A430" s="14">
        <v>425</v>
      </c>
      <c r="B430" s="9">
        <v>45785</v>
      </c>
      <c r="C430" s="10" t="s">
        <v>113</v>
      </c>
      <c r="D430" s="10" t="s">
        <v>10</v>
      </c>
      <c r="E430" s="11" t="s">
        <v>65</v>
      </c>
      <c r="F430" s="5">
        <v>2340.2199999999998</v>
      </c>
      <c r="G430" s="13" t="s">
        <v>114</v>
      </c>
      <c r="H430" s="12">
        <f t="shared" si="6"/>
        <v>-2340.2199999999998</v>
      </c>
    </row>
    <row r="431" spans="1:8">
      <c r="A431" s="14">
        <v>426</v>
      </c>
      <c r="B431" s="9">
        <v>45785</v>
      </c>
      <c r="C431" s="10" t="s">
        <v>113</v>
      </c>
      <c r="D431" s="10" t="s">
        <v>14</v>
      </c>
      <c r="E431" s="11" t="s">
        <v>23</v>
      </c>
      <c r="F431" s="5">
        <v>3784.28</v>
      </c>
      <c r="G431" s="13" t="s">
        <v>114</v>
      </c>
      <c r="H431" s="12">
        <f t="shared" si="6"/>
        <v>-3784.28</v>
      </c>
    </row>
    <row r="432" spans="1:8">
      <c r="A432" s="14">
        <v>427</v>
      </c>
      <c r="B432" s="9">
        <v>45785</v>
      </c>
      <c r="C432" s="10" t="s">
        <v>113</v>
      </c>
      <c r="D432" s="10" t="s">
        <v>10</v>
      </c>
      <c r="E432" s="11" t="s">
        <v>19</v>
      </c>
      <c r="F432" s="5">
        <v>11025.17</v>
      </c>
      <c r="G432" s="13" t="s">
        <v>114</v>
      </c>
      <c r="H432" s="12">
        <f t="shared" si="6"/>
        <v>-11025.17</v>
      </c>
    </row>
    <row r="433" spans="1:8">
      <c r="A433" s="14">
        <v>428</v>
      </c>
      <c r="B433" s="9">
        <v>45785</v>
      </c>
      <c r="C433" s="10" t="s">
        <v>113</v>
      </c>
      <c r="D433" s="10" t="s">
        <v>16</v>
      </c>
      <c r="E433" s="11" t="s">
        <v>63</v>
      </c>
      <c r="F433" s="5">
        <v>5603.86</v>
      </c>
      <c r="G433" s="13" t="s">
        <v>114</v>
      </c>
      <c r="H433" s="12">
        <f t="shared" si="6"/>
        <v>-5603.86</v>
      </c>
    </row>
    <row r="434" spans="1:8">
      <c r="A434" s="14">
        <v>429</v>
      </c>
      <c r="B434" s="9">
        <v>45785</v>
      </c>
      <c r="C434" s="10" t="s">
        <v>113</v>
      </c>
      <c r="D434" s="10" t="s">
        <v>15</v>
      </c>
      <c r="E434" s="11" t="s">
        <v>37</v>
      </c>
      <c r="F434" s="5">
        <v>974.44</v>
      </c>
      <c r="G434" s="13" t="s">
        <v>114</v>
      </c>
      <c r="H434" s="12">
        <f t="shared" si="6"/>
        <v>-974.44</v>
      </c>
    </row>
    <row r="435" spans="1:8">
      <c r="A435" s="14">
        <v>430</v>
      </c>
      <c r="B435" s="9">
        <v>45786</v>
      </c>
      <c r="C435" s="10" t="s">
        <v>113</v>
      </c>
      <c r="D435" s="10" t="s">
        <v>16</v>
      </c>
      <c r="E435" s="11" t="s">
        <v>57</v>
      </c>
      <c r="F435" s="5">
        <v>3829.38</v>
      </c>
      <c r="G435" s="13" t="s">
        <v>114</v>
      </c>
      <c r="H435" s="12">
        <f t="shared" si="6"/>
        <v>-3829.38</v>
      </c>
    </row>
    <row r="436" spans="1:8">
      <c r="A436" s="14">
        <v>431</v>
      </c>
      <c r="B436" s="9">
        <v>45786</v>
      </c>
      <c r="C436" s="10" t="s">
        <v>113</v>
      </c>
      <c r="D436" s="10" t="s">
        <v>15</v>
      </c>
      <c r="E436" s="11" t="s">
        <v>26</v>
      </c>
      <c r="F436" s="5">
        <v>4868.32</v>
      </c>
      <c r="G436" s="13" t="s">
        <v>114</v>
      </c>
      <c r="H436" s="12">
        <f t="shared" si="6"/>
        <v>-4868.32</v>
      </c>
    </row>
    <row r="437" spans="1:8">
      <c r="A437" s="14">
        <v>432</v>
      </c>
      <c r="B437" s="9">
        <v>45786</v>
      </c>
      <c r="C437" s="10" t="s">
        <v>113</v>
      </c>
      <c r="D437" s="10" t="s">
        <v>16</v>
      </c>
      <c r="E437" s="11" t="s">
        <v>63</v>
      </c>
      <c r="F437" s="5">
        <v>1171.1500000000001</v>
      </c>
      <c r="G437" s="13" t="s">
        <v>114</v>
      </c>
      <c r="H437" s="12">
        <f t="shared" si="6"/>
        <v>-1171.1500000000001</v>
      </c>
    </row>
    <row r="438" spans="1:8">
      <c r="A438" s="14">
        <v>433</v>
      </c>
      <c r="B438" s="9">
        <v>45786</v>
      </c>
      <c r="C438" s="10" t="s">
        <v>113</v>
      </c>
      <c r="D438" s="10" t="s">
        <v>15</v>
      </c>
      <c r="E438" s="11" t="s">
        <v>66</v>
      </c>
      <c r="F438" s="5">
        <v>18421</v>
      </c>
      <c r="G438" s="13" t="s">
        <v>114</v>
      </c>
      <c r="H438" s="12">
        <f t="shared" si="6"/>
        <v>-18421</v>
      </c>
    </row>
    <row r="439" spans="1:8">
      <c r="A439" s="14">
        <v>434</v>
      </c>
      <c r="B439" s="9">
        <v>45786</v>
      </c>
      <c r="C439" s="10" t="s">
        <v>113</v>
      </c>
      <c r="D439" s="10" t="s">
        <v>9</v>
      </c>
      <c r="E439" s="11" t="s">
        <v>44</v>
      </c>
      <c r="F439" s="5">
        <v>2043.96</v>
      </c>
      <c r="G439" s="13" t="s">
        <v>114</v>
      </c>
      <c r="H439" s="12">
        <f t="shared" si="6"/>
        <v>-2043.96</v>
      </c>
    </row>
    <row r="440" spans="1:8">
      <c r="A440" s="14">
        <v>435</v>
      </c>
      <c r="B440" s="9">
        <v>45786</v>
      </c>
      <c r="C440" s="10" t="s">
        <v>113</v>
      </c>
      <c r="D440" s="10" t="s">
        <v>10</v>
      </c>
      <c r="E440" s="11" t="s">
        <v>70</v>
      </c>
      <c r="F440" s="5">
        <v>2588.06</v>
      </c>
      <c r="G440" s="13" t="s">
        <v>114</v>
      </c>
      <c r="H440" s="12">
        <f t="shared" si="6"/>
        <v>-2588.06</v>
      </c>
    </row>
    <row r="441" spans="1:8">
      <c r="A441" s="14">
        <v>436</v>
      </c>
      <c r="B441" s="9">
        <v>45787</v>
      </c>
      <c r="C441" s="10" t="s">
        <v>113</v>
      </c>
      <c r="D441" s="10" t="s">
        <v>9</v>
      </c>
      <c r="E441" s="11" t="s">
        <v>62</v>
      </c>
      <c r="F441" s="5">
        <v>1766.07</v>
      </c>
      <c r="G441" s="13" t="s">
        <v>114</v>
      </c>
      <c r="H441" s="12">
        <f t="shared" si="6"/>
        <v>-1766.07</v>
      </c>
    </row>
    <row r="442" spans="1:8">
      <c r="A442" s="14">
        <v>437</v>
      </c>
      <c r="B442" s="9">
        <v>45787</v>
      </c>
      <c r="C442" s="10" t="s">
        <v>113</v>
      </c>
      <c r="D442" s="10" t="s">
        <v>10</v>
      </c>
      <c r="E442" s="11" t="s">
        <v>19</v>
      </c>
      <c r="F442" s="5">
        <v>8871.81</v>
      </c>
      <c r="G442" s="13" t="s">
        <v>114</v>
      </c>
      <c r="H442" s="12">
        <f t="shared" si="6"/>
        <v>-8871.81</v>
      </c>
    </row>
    <row r="443" spans="1:8">
      <c r="A443" s="14">
        <v>438</v>
      </c>
      <c r="B443" s="9">
        <v>45788</v>
      </c>
      <c r="C443" s="10" t="s">
        <v>113</v>
      </c>
      <c r="D443" s="10" t="s">
        <v>14</v>
      </c>
      <c r="E443" s="11" t="s">
        <v>64</v>
      </c>
      <c r="F443" s="5">
        <v>2578.13</v>
      </c>
      <c r="G443" s="13" t="s">
        <v>114</v>
      </c>
      <c r="H443" s="12">
        <f t="shared" si="6"/>
        <v>-2578.13</v>
      </c>
    </row>
    <row r="444" spans="1:8">
      <c r="A444" s="14">
        <v>439</v>
      </c>
      <c r="B444" s="9">
        <v>45788</v>
      </c>
      <c r="C444" s="10" t="s">
        <v>113</v>
      </c>
      <c r="D444" s="10" t="s">
        <v>14</v>
      </c>
      <c r="E444" s="11" t="s">
        <v>40</v>
      </c>
      <c r="F444" s="5">
        <v>3067.09</v>
      </c>
      <c r="G444" s="13" t="s">
        <v>114</v>
      </c>
      <c r="H444" s="12">
        <f t="shared" si="6"/>
        <v>-3067.09</v>
      </c>
    </row>
    <row r="445" spans="1:8">
      <c r="A445" s="14">
        <v>440</v>
      </c>
      <c r="B445" s="9">
        <v>45788</v>
      </c>
      <c r="C445" s="10" t="s">
        <v>113</v>
      </c>
      <c r="D445" s="10" t="s">
        <v>14</v>
      </c>
      <c r="E445" s="11" t="s">
        <v>23</v>
      </c>
      <c r="F445" s="5">
        <v>7647.61</v>
      </c>
      <c r="G445" s="13" t="s">
        <v>114</v>
      </c>
      <c r="H445" s="12">
        <f t="shared" si="6"/>
        <v>-7647.61</v>
      </c>
    </row>
    <row r="446" spans="1:8">
      <c r="A446" s="14">
        <v>441</v>
      </c>
      <c r="B446" s="9">
        <v>45789</v>
      </c>
      <c r="C446" s="10" t="s">
        <v>113</v>
      </c>
      <c r="D446" s="10" t="s">
        <v>14</v>
      </c>
      <c r="E446" s="11" t="s">
        <v>69</v>
      </c>
      <c r="F446" s="5">
        <v>1036.1199999999999</v>
      </c>
      <c r="G446" s="13" t="s">
        <v>114</v>
      </c>
      <c r="H446" s="12">
        <f t="shared" si="6"/>
        <v>-1036.1199999999999</v>
      </c>
    </row>
    <row r="447" spans="1:8">
      <c r="A447" s="14">
        <v>442</v>
      </c>
      <c r="B447" s="9">
        <v>45789</v>
      </c>
      <c r="C447" s="10" t="s">
        <v>113</v>
      </c>
      <c r="D447" s="10" t="s">
        <v>15</v>
      </c>
      <c r="E447" s="11" t="s">
        <v>49</v>
      </c>
      <c r="F447" s="5">
        <v>2778</v>
      </c>
      <c r="G447" s="13" t="s">
        <v>114</v>
      </c>
      <c r="H447" s="12">
        <f t="shared" si="6"/>
        <v>-2778</v>
      </c>
    </row>
    <row r="448" spans="1:8">
      <c r="A448" s="14">
        <v>443</v>
      </c>
      <c r="B448" s="9">
        <v>45789</v>
      </c>
      <c r="C448" s="10" t="s">
        <v>113</v>
      </c>
      <c r="D448" s="10" t="s">
        <v>16</v>
      </c>
      <c r="E448" s="11" t="s">
        <v>68</v>
      </c>
      <c r="F448" s="5">
        <v>8524.6200000000008</v>
      </c>
      <c r="G448" s="13" t="s">
        <v>114</v>
      </c>
      <c r="H448" s="12">
        <f t="shared" si="6"/>
        <v>-8524.6200000000008</v>
      </c>
    </row>
    <row r="449" spans="1:8">
      <c r="A449" s="14">
        <v>444</v>
      </c>
      <c r="B449" s="9">
        <v>45789</v>
      </c>
      <c r="C449" s="10" t="s">
        <v>113</v>
      </c>
      <c r="D449" s="10" t="s">
        <v>14</v>
      </c>
      <c r="E449" s="11" t="s">
        <v>40</v>
      </c>
      <c r="F449" s="5">
        <v>2819.27</v>
      </c>
      <c r="G449" s="13" t="s">
        <v>114</v>
      </c>
      <c r="H449" s="12">
        <f t="shared" si="6"/>
        <v>-2819.27</v>
      </c>
    </row>
    <row r="450" spans="1:8">
      <c r="A450" s="14">
        <v>445</v>
      </c>
      <c r="B450" s="9">
        <v>45790</v>
      </c>
      <c r="C450" s="10" t="s">
        <v>113</v>
      </c>
      <c r="D450" s="10" t="s">
        <v>16</v>
      </c>
      <c r="E450" s="11" t="s">
        <v>45</v>
      </c>
      <c r="F450" s="5">
        <v>4031.39</v>
      </c>
      <c r="G450" s="13" t="s">
        <v>114</v>
      </c>
      <c r="H450" s="12">
        <f t="shared" si="6"/>
        <v>-4031.39</v>
      </c>
    </row>
    <row r="451" spans="1:8">
      <c r="A451" s="14">
        <v>446</v>
      </c>
      <c r="B451" s="9">
        <v>45790</v>
      </c>
      <c r="C451" s="10" t="s">
        <v>113</v>
      </c>
      <c r="D451" s="10" t="s">
        <v>14</v>
      </c>
      <c r="E451" s="11" t="s">
        <v>74</v>
      </c>
      <c r="F451" s="5">
        <v>577.36</v>
      </c>
      <c r="G451" s="13" t="s">
        <v>114</v>
      </c>
      <c r="H451" s="12">
        <f t="shared" si="6"/>
        <v>-577.36</v>
      </c>
    </row>
    <row r="452" spans="1:8">
      <c r="A452" s="14">
        <v>447</v>
      </c>
      <c r="B452" s="9">
        <v>45790</v>
      </c>
      <c r="C452" s="10" t="s">
        <v>113</v>
      </c>
      <c r="D452" s="10" t="s">
        <v>16</v>
      </c>
      <c r="E452" s="11" t="s">
        <v>39</v>
      </c>
      <c r="F452" s="5">
        <v>548.4</v>
      </c>
      <c r="G452" s="13" t="s">
        <v>114</v>
      </c>
      <c r="H452" s="12">
        <f t="shared" si="6"/>
        <v>-548.4</v>
      </c>
    </row>
    <row r="453" spans="1:8">
      <c r="A453" s="14">
        <v>448</v>
      </c>
      <c r="B453" s="9">
        <v>45790</v>
      </c>
      <c r="C453" s="10" t="s">
        <v>113</v>
      </c>
      <c r="D453" s="10" t="s">
        <v>16</v>
      </c>
      <c r="E453" s="11" t="s">
        <v>73</v>
      </c>
      <c r="F453" s="5">
        <v>1943.59</v>
      </c>
      <c r="G453" s="13" t="s">
        <v>114</v>
      </c>
      <c r="H453" s="12">
        <f t="shared" ref="H453:H516" si="7">IF(C453="Despesa", F453*-1, F453)</f>
        <v>-1943.59</v>
      </c>
    </row>
    <row r="454" spans="1:8">
      <c r="A454" s="14">
        <v>449</v>
      </c>
      <c r="B454" s="9">
        <v>45790</v>
      </c>
      <c r="C454" s="10" t="s">
        <v>113</v>
      </c>
      <c r="D454" s="10" t="s">
        <v>15</v>
      </c>
      <c r="E454" s="11" t="s">
        <v>55</v>
      </c>
      <c r="F454" s="5">
        <v>2719.04</v>
      </c>
      <c r="G454" s="13" t="s">
        <v>114</v>
      </c>
      <c r="H454" s="12">
        <f t="shared" si="7"/>
        <v>-2719.04</v>
      </c>
    </row>
    <row r="455" spans="1:8">
      <c r="A455" s="14">
        <v>450</v>
      </c>
      <c r="B455" s="9">
        <v>45791</v>
      </c>
      <c r="C455" s="10" t="s">
        <v>113</v>
      </c>
      <c r="D455" s="10" t="s">
        <v>14</v>
      </c>
      <c r="E455" s="11" t="s">
        <v>23</v>
      </c>
      <c r="F455" s="5">
        <v>3736.39</v>
      </c>
      <c r="G455" s="13" t="s">
        <v>114</v>
      </c>
      <c r="H455" s="12">
        <f t="shared" si="7"/>
        <v>-3736.39</v>
      </c>
    </row>
    <row r="456" spans="1:8">
      <c r="A456" s="14">
        <v>451</v>
      </c>
      <c r="B456" s="9">
        <v>45791</v>
      </c>
      <c r="C456" s="10" t="s">
        <v>113</v>
      </c>
      <c r="D456" s="10" t="s">
        <v>15</v>
      </c>
      <c r="E456" s="11" t="s">
        <v>55</v>
      </c>
      <c r="F456" s="5">
        <v>1408.98</v>
      </c>
      <c r="G456" s="13" t="s">
        <v>114</v>
      </c>
      <c r="H456" s="12">
        <f t="shared" si="7"/>
        <v>-1408.98</v>
      </c>
    </row>
    <row r="457" spans="1:8">
      <c r="A457" s="14">
        <v>452</v>
      </c>
      <c r="B457" s="9">
        <v>45791</v>
      </c>
      <c r="C457" s="10" t="s">
        <v>113</v>
      </c>
      <c r="D457" s="10" t="s">
        <v>14</v>
      </c>
      <c r="E457" s="11" t="s">
        <v>23</v>
      </c>
      <c r="F457" s="5">
        <v>5360.14</v>
      </c>
      <c r="G457" s="13" t="s">
        <v>114</v>
      </c>
      <c r="H457" s="12">
        <f t="shared" si="7"/>
        <v>-5360.14</v>
      </c>
    </row>
    <row r="458" spans="1:8">
      <c r="A458" s="14">
        <v>453</v>
      </c>
      <c r="B458" s="9">
        <v>45791</v>
      </c>
      <c r="C458" s="10" t="s">
        <v>113</v>
      </c>
      <c r="D458" s="10" t="s">
        <v>14</v>
      </c>
      <c r="E458" s="11" t="s">
        <v>64</v>
      </c>
      <c r="F458" s="5">
        <v>1738.86</v>
      </c>
      <c r="G458" s="13" t="s">
        <v>114</v>
      </c>
      <c r="H458" s="12">
        <f t="shared" si="7"/>
        <v>-1738.86</v>
      </c>
    </row>
    <row r="459" spans="1:8">
      <c r="A459" s="14">
        <v>454</v>
      </c>
      <c r="B459" s="9">
        <v>45792</v>
      </c>
      <c r="C459" s="10" t="s">
        <v>113</v>
      </c>
      <c r="D459" s="10" t="s">
        <v>16</v>
      </c>
      <c r="E459" s="11" t="s">
        <v>39</v>
      </c>
      <c r="F459" s="5">
        <v>642.91</v>
      </c>
      <c r="G459" s="13" t="s">
        <v>114</v>
      </c>
      <c r="H459" s="12">
        <f t="shared" si="7"/>
        <v>-642.91</v>
      </c>
    </row>
    <row r="460" spans="1:8">
      <c r="A460" s="14">
        <v>455</v>
      </c>
      <c r="B460" s="9">
        <v>45792</v>
      </c>
      <c r="C460" s="10" t="s">
        <v>113</v>
      </c>
      <c r="D460" s="10" t="s">
        <v>16</v>
      </c>
      <c r="E460" s="11" t="s">
        <v>22</v>
      </c>
      <c r="F460" s="5">
        <v>1701.96</v>
      </c>
      <c r="G460" s="13" t="s">
        <v>114</v>
      </c>
      <c r="H460" s="12">
        <f t="shared" si="7"/>
        <v>-1701.96</v>
      </c>
    </row>
    <row r="461" spans="1:8">
      <c r="A461" s="14">
        <v>456</v>
      </c>
      <c r="B461" s="9">
        <v>45792</v>
      </c>
      <c r="C461" s="10" t="s">
        <v>113</v>
      </c>
      <c r="D461" s="10" t="s">
        <v>15</v>
      </c>
      <c r="E461" s="11" t="s">
        <v>43</v>
      </c>
      <c r="F461" s="5">
        <v>787.75</v>
      </c>
      <c r="G461" s="13" t="s">
        <v>114</v>
      </c>
      <c r="H461" s="12">
        <f t="shared" si="7"/>
        <v>-787.75</v>
      </c>
    </row>
    <row r="462" spans="1:8">
      <c r="A462" s="14">
        <v>457</v>
      </c>
      <c r="B462" s="9">
        <v>45792</v>
      </c>
      <c r="C462" s="10" t="s">
        <v>113</v>
      </c>
      <c r="D462" s="10" t="s">
        <v>9</v>
      </c>
      <c r="E462" s="11" t="s">
        <v>21</v>
      </c>
      <c r="F462" s="5">
        <v>2638.98</v>
      </c>
      <c r="G462" s="13" t="s">
        <v>114</v>
      </c>
      <c r="H462" s="12">
        <f t="shared" si="7"/>
        <v>-2638.98</v>
      </c>
    </row>
    <row r="463" spans="1:8">
      <c r="A463" s="14">
        <v>458</v>
      </c>
      <c r="B463" s="9">
        <v>45792</v>
      </c>
      <c r="C463" s="10" t="s">
        <v>113</v>
      </c>
      <c r="D463" s="10" t="s">
        <v>16</v>
      </c>
      <c r="E463" s="11" t="s">
        <v>63</v>
      </c>
      <c r="F463" s="5">
        <v>4405.28</v>
      </c>
      <c r="G463" s="13" t="s">
        <v>114</v>
      </c>
      <c r="H463" s="12">
        <f t="shared" si="7"/>
        <v>-4405.28</v>
      </c>
    </row>
    <row r="464" spans="1:8">
      <c r="A464" s="14">
        <v>459</v>
      </c>
      <c r="B464" s="9">
        <v>45792</v>
      </c>
      <c r="C464" s="10" t="s">
        <v>113</v>
      </c>
      <c r="D464" s="10" t="s">
        <v>15</v>
      </c>
      <c r="E464" s="11" t="s">
        <v>8</v>
      </c>
      <c r="F464" s="5">
        <v>4618.8599999999997</v>
      </c>
      <c r="G464" s="13" t="s">
        <v>114</v>
      </c>
      <c r="H464" s="12">
        <f t="shared" si="7"/>
        <v>-4618.8599999999997</v>
      </c>
    </row>
    <row r="465" spans="1:8">
      <c r="A465" s="14">
        <v>460</v>
      </c>
      <c r="B465" s="9">
        <v>45792</v>
      </c>
      <c r="C465" s="10" t="s">
        <v>113</v>
      </c>
      <c r="D465" s="10" t="s">
        <v>14</v>
      </c>
      <c r="E465" s="11" t="s">
        <v>23</v>
      </c>
      <c r="F465" s="5">
        <v>2277.02</v>
      </c>
      <c r="G465" s="13" t="s">
        <v>114</v>
      </c>
      <c r="H465" s="12">
        <f t="shared" si="7"/>
        <v>-2277.02</v>
      </c>
    </row>
    <row r="466" spans="1:8">
      <c r="A466" s="14">
        <v>461</v>
      </c>
      <c r="B466" s="9">
        <v>45792</v>
      </c>
      <c r="C466" s="10" t="s">
        <v>113</v>
      </c>
      <c r="D466" s="10" t="s">
        <v>15</v>
      </c>
      <c r="E466" s="11" t="s">
        <v>71</v>
      </c>
      <c r="F466" s="5">
        <v>1508.27</v>
      </c>
      <c r="G466" s="13" t="s">
        <v>114</v>
      </c>
      <c r="H466" s="12">
        <f t="shared" si="7"/>
        <v>-1508.27</v>
      </c>
    </row>
    <row r="467" spans="1:8">
      <c r="A467" s="14">
        <v>462</v>
      </c>
      <c r="B467" s="9">
        <v>45793</v>
      </c>
      <c r="C467" s="10" t="s">
        <v>113</v>
      </c>
      <c r="D467" s="10" t="s">
        <v>10</v>
      </c>
      <c r="E467" s="11" t="s">
        <v>70</v>
      </c>
      <c r="F467" s="5">
        <v>3202.27</v>
      </c>
      <c r="G467" s="13" t="s">
        <v>114</v>
      </c>
      <c r="H467" s="12">
        <f t="shared" si="7"/>
        <v>-3202.27</v>
      </c>
    </row>
    <row r="468" spans="1:8">
      <c r="A468" s="14">
        <v>463</v>
      </c>
      <c r="B468" s="9">
        <v>45793</v>
      </c>
      <c r="C468" s="10" t="s">
        <v>113</v>
      </c>
      <c r="D468" s="10" t="s">
        <v>15</v>
      </c>
      <c r="E468" s="11" t="s">
        <v>8</v>
      </c>
      <c r="F468" s="5">
        <v>5908.26</v>
      </c>
      <c r="G468" s="13" t="s">
        <v>114</v>
      </c>
      <c r="H468" s="12">
        <f t="shared" si="7"/>
        <v>-5908.26</v>
      </c>
    </row>
    <row r="469" spans="1:8">
      <c r="A469" s="14">
        <v>464</v>
      </c>
      <c r="B469" s="9">
        <v>45793</v>
      </c>
      <c r="C469" s="10" t="s">
        <v>113</v>
      </c>
      <c r="D469" s="10" t="s">
        <v>15</v>
      </c>
      <c r="E469" s="11" t="s">
        <v>66</v>
      </c>
      <c r="F469" s="5">
        <v>7902.04</v>
      </c>
      <c r="G469" s="13" t="s">
        <v>114</v>
      </c>
      <c r="H469" s="12">
        <f t="shared" si="7"/>
        <v>-7902.04</v>
      </c>
    </row>
    <row r="470" spans="1:8">
      <c r="A470" s="14">
        <v>465</v>
      </c>
      <c r="B470" s="9">
        <v>45793</v>
      </c>
      <c r="C470" s="10" t="s">
        <v>113</v>
      </c>
      <c r="D470" s="10" t="s">
        <v>9</v>
      </c>
      <c r="E470" s="11" t="s">
        <v>72</v>
      </c>
      <c r="F470" s="5">
        <v>2864.63</v>
      </c>
      <c r="G470" s="13" t="s">
        <v>114</v>
      </c>
      <c r="H470" s="12">
        <f t="shared" si="7"/>
        <v>-2864.63</v>
      </c>
    </row>
    <row r="471" spans="1:8">
      <c r="A471" s="14">
        <v>466</v>
      </c>
      <c r="B471" s="9">
        <v>45793</v>
      </c>
      <c r="C471" s="10" t="s">
        <v>113</v>
      </c>
      <c r="D471" s="10" t="s">
        <v>15</v>
      </c>
      <c r="E471" s="11" t="s">
        <v>61</v>
      </c>
      <c r="F471" s="5">
        <v>1992.69</v>
      </c>
      <c r="G471" s="13" t="s">
        <v>114</v>
      </c>
      <c r="H471" s="12">
        <f t="shared" si="7"/>
        <v>-1992.69</v>
      </c>
    </row>
    <row r="472" spans="1:8">
      <c r="A472" s="14">
        <v>467</v>
      </c>
      <c r="B472" s="9">
        <v>45796</v>
      </c>
      <c r="C472" s="10" t="s">
        <v>113</v>
      </c>
      <c r="D472" s="10" t="s">
        <v>9</v>
      </c>
      <c r="E472" s="11" t="s">
        <v>50</v>
      </c>
      <c r="F472" s="5">
        <v>1748.12</v>
      </c>
      <c r="G472" s="13" t="s">
        <v>114</v>
      </c>
      <c r="H472" s="12">
        <f t="shared" si="7"/>
        <v>-1748.12</v>
      </c>
    </row>
    <row r="473" spans="1:8">
      <c r="A473" s="14">
        <v>468</v>
      </c>
      <c r="B473" s="9">
        <v>45796</v>
      </c>
      <c r="C473" s="10" t="s">
        <v>113</v>
      </c>
      <c r="D473" s="10" t="s">
        <v>14</v>
      </c>
      <c r="E473" s="11" t="s">
        <v>40</v>
      </c>
      <c r="F473" s="5">
        <v>9295.59</v>
      </c>
      <c r="G473" s="13" t="s">
        <v>114</v>
      </c>
      <c r="H473" s="12">
        <f t="shared" si="7"/>
        <v>-9295.59</v>
      </c>
    </row>
    <row r="474" spans="1:8">
      <c r="A474" s="14">
        <v>469</v>
      </c>
      <c r="B474" s="9">
        <v>45797</v>
      </c>
      <c r="C474" s="10" t="s">
        <v>113</v>
      </c>
      <c r="D474" s="10" t="s">
        <v>14</v>
      </c>
      <c r="E474" s="11" t="s">
        <v>40</v>
      </c>
      <c r="F474" s="5">
        <v>9436.1200000000008</v>
      </c>
      <c r="G474" s="13" t="s">
        <v>114</v>
      </c>
      <c r="H474" s="12">
        <f t="shared" si="7"/>
        <v>-9436.1200000000008</v>
      </c>
    </row>
    <row r="475" spans="1:8">
      <c r="A475" s="14">
        <v>470</v>
      </c>
      <c r="B475" s="9">
        <v>45797</v>
      </c>
      <c r="C475" s="10" t="s">
        <v>113</v>
      </c>
      <c r="D475" s="10" t="s">
        <v>14</v>
      </c>
      <c r="E475" s="11" t="s">
        <v>23</v>
      </c>
      <c r="F475" s="5">
        <v>7857.09</v>
      </c>
      <c r="G475" s="13" t="s">
        <v>114</v>
      </c>
      <c r="H475" s="12">
        <f t="shared" si="7"/>
        <v>-7857.09</v>
      </c>
    </row>
    <row r="476" spans="1:8">
      <c r="A476" s="14">
        <v>471</v>
      </c>
      <c r="B476" s="9">
        <v>45797</v>
      </c>
      <c r="C476" s="10" t="s">
        <v>113</v>
      </c>
      <c r="D476" s="10" t="s">
        <v>14</v>
      </c>
      <c r="E476" s="11" t="s">
        <v>29</v>
      </c>
      <c r="F476" s="5">
        <v>2081.81</v>
      </c>
      <c r="G476" s="13" t="s">
        <v>114</v>
      </c>
      <c r="H476" s="12">
        <f t="shared" si="7"/>
        <v>-2081.81</v>
      </c>
    </row>
    <row r="477" spans="1:8">
      <c r="A477" s="14">
        <v>472</v>
      </c>
      <c r="B477" s="9">
        <v>45798</v>
      </c>
      <c r="C477" s="10" t="s">
        <v>113</v>
      </c>
      <c r="D477" s="10" t="s">
        <v>15</v>
      </c>
      <c r="E477" s="11" t="s">
        <v>7</v>
      </c>
      <c r="F477" s="5">
        <v>1081.3499999999999</v>
      </c>
      <c r="G477" s="13" t="s">
        <v>114</v>
      </c>
      <c r="H477" s="12">
        <f t="shared" si="7"/>
        <v>-1081.3499999999999</v>
      </c>
    </row>
    <row r="478" spans="1:8">
      <c r="A478" s="14">
        <v>473</v>
      </c>
      <c r="B478" s="9">
        <v>45798</v>
      </c>
      <c r="C478" s="10" t="s">
        <v>113</v>
      </c>
      <c r="D478" s="10" t="s">
        <v>15</v>
      </c>
      <c r="E478" s="11" t="s">
        <v>7</v>
      </c>
      <c r="F478" s="5">
        <v>1635.03</v>
      </c>
      <c r="G478" s="13" t="s">
        <v>114</v>
      </c>
      <c r="H478" s="12">
        <f t="shared" si="7"/>
        <v>-1635.03</v>
      </c>
    </row>
    <row r="479" spans="1:8">
      <c r="A479" s="14">
        <v>474</v>
      </c>
      <c r="B479" s="9">
        <v>45798</v>
      </c>
      <c r="C479" s="10" t="s">
        <v>113</v>
      </c>
      <c r="D479" s="10" t="s">
        <v>17</v>
      </c>
      <c r="E479" s="11" t="s">
        <v>20</v>
      </c>
      <c r="F479" s="5">
        <v>382.08</v>
      </c>
      <c r="G479" s="13" t="s">
        <v>114</v>
      </c>
      <c r="H479" s="12">
        <f t="shared" si="7"/>
        <v>-382.08</v>
      </c>
    </row>
    <row r="480" spans="1:8">
      <c r="A480" s="14">
        <v>475</v>
      </c>
      <c r="B480" s="9">
        <v>45799</v>
      </c>
      <c r="C480" s="10" t="s">
        <v>113</v>
      </c>
      <c r="D480" s="10" t="s">
        <v>15</v>
      </c>
      <c r="E480" s="11" t="s">
        <v>61</v>
      </c>
      <c r="F480" s="5">
        <v>1418.32</v>
      </c>
      <c r="G480" s="13" t="s">
        <v>114</v>
      </c>
      <c r="H480" s="12">
        <f t="shared" si="7"/>
        <v>-1418.32</v>
      </c>
    </row>
    <row r="481" spans="1:8">
      <c r="A481" s="14">
        <v>476</v>
      </c>
      <c r="B481" s="9">
        <v>45799</v>
      </c>
      <c r="C481" s="10" t="s">
        <v>113</v>
      </c>
      <c r="D481" s="10" t="s">
        <v>14</v>
      </c>
      <c r="E481" s="11" t="s">
        <v>23</v>
      </c>
      <c r="F481" s="5">
        <v>2449.09</v>
      </c>
      <c r="G481" s="13" t="s">
        <v>114</v>
      </c>
      <c r="H481" s="12">
        <f t="shared" si="7"/>
        <v>-2449.09</v>
      </c>
    </row>
    <row r="482" spans="1:8">
      <c r="A482" s="14">
        <v>477</v>
      </c>
      <c r="B482" s="9">
        <v>45800</v>
      </c>
      <c r="C482" s="10" t="s">
        <v>113</v>
      </c>
      <c r="D482" s="10" t="s">
        <v>9</v>
      </c>
      <c r="E482" s="11" t="s">
        <v>44</v>
      </c>
      <c r="F482" s="5">
        <v>1089.24</v>
      </c>
      <c r="G482" s="13" t="s">
        <v>114</v>
      </c>
      <c r="H482" s="12">
        <f t="shared" si="7"/>
        <v>-1089.24</v>
      </c>
    </row>
    <row r="483" spans="1:8">
      <c r="A483" s="14">
        <v>478</v>
      </c>
      <c r="B483" s="9">
        <v>45800</v>
      </c>
      <c r="C483" s="10" t="s">
        <v>113</v>
      </c>
      <c r="D483" s="10" t="s">
        <v>16</v>
      </c>
      <c r="E483" s="11" t="s">
        <v>33</v>
      </c>
      <c r="F483" s="5">
        <v>1428.79</v>
      </c>
      <c r="G483" s="13" t="s">
        <v>114</v>
      </c>
      <c r="H483" s="12">
        <f t="shared" si="7"/>
        <v>-1428.79</v>
      </c>
    </row>
    <row r="484" spans="1:8">
      <c r="A484" s="14">
        <v>479</v>
      </c>
      <c r="B484" s="9">
        <v>45800</v>
      </c>
      <c r="C484" s="10" t="s">
        <v>113</v>
      </c>
      <c r="D484" s="10" t="s">
        <v>10</v>
      </c>
      <c r="E484" s="11" t="s">
        <v>53</v>
      </c>
      <c r="F484" s="5">
        <v>1090.46</v>
      </c>
      <c r="G484" s="13" t="s">
        <v>114</v>
      </c>
      <c r="H484" s="12">
        <f t="shared" si="7"/>
        <v>-1090.46</v>
      </c>
    </row>
    <row r="485" spans="1:8">
      <c r="A485" s="14">
        <v>480</v>
      </c>
      <c r="B485" s="9">
        <v>45800</v>
      </c>
      <c r="C485" s="10" t="s">
        <v>113</v>
      </c>
      <c r="D485" s="10" t="s">
        <v>10</v>
      </c>
      <c r="E485" s="11" t="s">
        <v>24</v>
      </c>
      <c r="F485" s="5">
        <v>4354.3100000000004</v>
      </c>
      <c r="G485" s="13" t="s">
        <v>114</v>
      </c>
      <c r="H485" s="12">
        <f t="shared" si="7"/>
        <v>-4354.3100000000004</v>
      </c>
    </row>
    <row r="486" spans="1:8">
      <c r="A486" s="14">
        <v>481</v>
      </c>
      <c r="B486" s="9">
        <v>45800</v>
      </c>
      <c r="C486" s="10" t="s">
        <v>113</v>
      </c>
      <c r="D486" s="10" t="s">
        <v>14</v>
      </c>
      <c r="E486" s="11" t="s">
        <v>23</v>
      </c>
      <c r="F486" s="5">
        <v>7629.03</v>
      </c>
      <c r="G486" s="13" t="s">
        <v>114</v>
      </c>
      <c r="H486" s="12">
        <f t="shared" si="7"/>
        <v>-7629.03</v>
      </c>
    </row>
    <row r="487" spans="1:8">
      <c r="A487" s="14">
        <v>482</v>
      </c>
      <c r="B487" s="9">
        <v>45800</v>
      </c>
      <c r="C487" s="10" t="s">
        <v>113</v>
      </c>
      <c r="D487" s="10" t="s">
        <v>9</v>
      </c>
      <c r="E487" s="11" t="s">
        <v>50</v>
      </c>
      <c r="F487" s="5">
        <v>776.34</v>
      </c>
      <c r="G487" s="13" t="s">
        <v>114</v>
      </c>
      <c r="H487" s="12">
        <f t="shared" si="7"/>
        <v>-776.34</v>
      </c>
    </row>
    <row r="488" spans="1:8">
      <c r="A488" s="14">
        <v>483</v>
      </c>
      <c r="B488" s="9">
        <v>45801</v>
      </c>
      <c r="C488" s="10" t="s">
        <v>113</v>
      </c>
      <c r="D488" s="10" t="s">
        <v>10</v>
      </c>
      <c r="E488" s="11" t="s">
        <v>59</v>
      </c>
      <c r="F488" s="5">
        <v>2829.47</v>
      </c>
      <c r="G488" s="13" t="s">
        <v>114</v>
      </c>
      <c r="H488" s="12">
        <f t="shared" si="7"/>
        <v>-2829.47</v>
      </c>
    </row>
    <row r="489" spans="1:8">
      <c r="A489" s="14">
        <v>484</v>
      </c>
      <c r="B489" s="9">
        <v>45802</v>
      </c>
      <c r="C489" s="10" t="s">
        <v>113</v>
      </c>
      <c r="D489" s="10" t="s">
        <v>10</v>
      </c>
      <c r="E489" s="11" t="s">
        <v>65</v>
      </c>
      <c r="F489" s="5">
        <v>3459.08</v>
      </c>
      <c r="G489" s="13" t="s">
        <v>114</v>
      </c>
      <c r="H489" s="12">
        <f t="shared" si="7"/>
        <v>-3459.08</v>
      </c>
    </row>
    <row r="490" spans="1:8">
      <c r="A490" s="14">
        <v>485</v>
      </c>
      <c r="B490" s="9">
        <v>45802</v>
      </c>
      <c r="C490" s="10" t="s">
        <v>113</v>
      </c>
      <c r="D490" s="10" t="s">
        <v>9</v>
      </c>
      <c r="E490" s="11" t="s">
        <v>50</v>
      </c>
      <c r="F490" s="5">
        <v>1127.44</v>
      </c>
      <c r="G490" s="13" t="s">
        <v>114</v>
      </c>
      <c r="H490" s="12">
        <f t="shared" si="7"/>
        <v>-1127.44</v>
      </c>
    </row>
    <row r="491" spans="1:8">
      <c r="A491" s="14">
        <v>486</v>
      </c>
      <c r="B491" s="9">
        <v>45802</v>
      </c>
      <c r="C491" s="10" t="s">
        <v>113</v>
      </c>
      <c r="D491" s="10" t="s">
        <v>10</v>
      </c>
      <c r="E491" s="11" t="s">
        <v>19</v>
      </c>
      <c r="F491" s="5">
        <v>14047.34</v>
      </c>
      <c r="G491" s="13" t="s">
        <v>114</v>
      </c>
      <c r="H491" s="12">
        <f t="shared" si="7"/>
        <v>-14047.34</v>
      </c>
    </row>
    <row r="492" spans="1:8">
      <c r="A492" s="14">
        <v>487</v>
      </c>
      <c r="B492" s="9">
        <v>45802</v>
      </c>
      <c r="C492" s="10" t="s">
        <v>113</v>
      </c>
      <c r="D492" s="10" t="s">
        <v>10</v>
      </c>
      <c r="E492" s="11" t="s">
        <v>24</v>
      </c>
      <c r="F492" s="5">
        <v>8636.92</v>
      </c>
      <c r="G492" s="13" t="s">
        <v>114</v>
      </c>
      <c r="H492" s="12">
        <f t="shared" si="7"/>
        <v>-8636.92</v>
      </c>
    </row>
    <row r="493" spans="1:8">
      <c r="A493" s="14">
        <v>488</v>
      </c>
      <c r="B493" s="9">
        <v>45802</v>
      </c>
      <c r="C493" s="10" t="s">
        <v>113</v>
      </c>
      <c r="D493" s="10" t="s">
        <v>17</v>
      </c>
      <c r="E493" s="11" t="s">
        <v>20</v>
      </c>
      <c r="F493" s="5">
        <v>240.89</v>
      </c>
      <c r="G493" s="13" t="s">
        <v>114</v>
      </c>
      <c r="H493" s="12">
        <f t="shared" si="7"/>
        <v>-240.89</v>
      </c>
    </row>
    <row r="494" spans="1:8">
      <c r="A494" s="14">
        <v>489</v>
      </c>
      <c r="B494" s="9">
        <v>45803</v>
      </c>
      <c r="C494" s="10" t="s">
        <v>113</v>
      </c>
      <c r="D494" s="10" t="s">
        <v>14</v>
      </c>
      <c r="E494" s="11" t="s">
        <v>23</v>
      </c>
      <c r="F494" s="5">
        <v>6421.73</v>
      </c>
      <c r="G494" s="13" t="s">
        <v>114</v>
      </c>
      <c r="H494" s="12">
        <f t="shared" si="7"/>
        <v>-6421.73</v>
      </c>
    </row>
    <row r="495" spans="1:8">
      <c r="A495" s="14">
        <v>490</v>
      </c>
      <c r="B495" s="9">
        <v>45803</v>
      </c>
      <c r="C495" s="10" t="s">
        <v>113</v>
      </c>
      <c r="D495" s="10" t="s">
        <v>10</v>
      </c>
      <c r="E495" s="11" t="s">
        <v>19</v>
      </c>
      <c r="F495" s="5">
        <v>12267.16</v>
      </c>
      <c r="G495" s="13" t="s">
        <v>114</v>
      </c>
      <c r="H495" s="12">
        <f t="shared" si="7"/>
        <v>-12267.16</v>
      </c>
    </row>
    <row r="496" spans="1:8">
      <c r="A496" s="14">
        <v>491</v>
      </c>
      <c r="B496" s="9">
        <v>45803</v>
      </c>
      <c r="C496" s="10" t="s">
        <v>113</v>
      </c>
      <c r="D496" s="10" t="s">
        <v>10</v>
      </c>
      <c r="E496" s="11" t="s">
        <v>59</v>
      </c>
      <c r="F496" s="5">
        <v>5472.18</v>
      </c>
      <c r="G496" s="13" t="s">
        <v>114</v>
      </c>
      <c r="H496" s="12">
        <f t="shared" si="7"/>
        <v>-5472.18</v>
      </c>
    </row>
    <row r="497" spans="1:8">
      <c r="A497" s="14">
        <v>492</v>
      </c>
      <c r="B497" s="9">
        <v>45804</v>
      </c>
      <c r="C497" s="10" t="s">
        <v>113</v>
      </c>
      <c r="D497" s="10" t="s">
        <v>14</v>
      </c>
      <c r="E497" s="11" t="s">
        <v>23</v>
      </c>
      <c r="F497" s="5">
        <v>8270.7800000000007</v>
      </c>
      <c r="G497" s="13" t="s">
        <v>114</v>
      </c>
      <c r="H497" s="12">
        <f t="shared" si="7"/>
        <v>-8270.7800000000007</v>
      </c>
    </row>
    <row r="498" spans="1:8">
      <c r="A498" s="14">
        <v>493</v>
      </c>
      <c r="B498" s="9">
        <v>45804</v>
      </c>
      <c r="C498" s="10" t="s">
        <v>113</v>
      </c>
      <c r="D498" s="10" t="s">
        <v>10</v>
      </c>
      <c r="E498" s="11" t="s">
        <v>19</v>
      </c>
      <c r="F498" s="5">
        <v>12720.63</v>
      </c>
      <c r="G498" s="13" t="s">
        <v>114</v>
      </c>
      <c r="H498" s="12">
        <f t="shared" si="7"/>
        <v>-12720.63</v>
      </c>
    </row>
    <row r="499" spans="1:8">
      <c r="A499" s="14">
        <v>494</v>
      </c>
      <c r="B499" s="9">
        <v>45804</v>
      </c>
      <c r="C499" s="10" t="s">
        <v>113</v>
      </c>
      <c r="D499" s="10" t="s">
        <v>9</v>
      </c>
      <c r="E499" s="11" t="s">
        <v>32</v>
      </c>
      <c r="F499" s="5">
        <v>776.09</v>
      </c>
      <c r="G499" s="13" t="s">
        <v>114</v>
      </c>
      <c r="H499" s="12">
        <f t="shared" si="7"/>
        <v>-776.09</v>
      </c>
    </row>
    <row r="500" spans="1:8">
      <c r="A500" s="14">
        <v>495</v>
      </c>
      <c r="B500" s="9">
        <v>45804</v>
      </c>
      <c r="C500" s="10" t="s">
        <v>113</v>
      </c>
      <c r="D500" s="10" t="s">
        <v>15</v>
      </c>
      <c r="E500" s="11" t="s">
        <v>49</v>
      </c>
      <c r="F500" s="5">
        <v>2037.71</v>
      </c>
      <c r="G500" s="13" t="s">
        <v>114</v>
      </c>
      <c r="H500" s="12">
        <f t="shared" si="7"/>
        <v>-2037.71</v>
      </c>
    </row>
    <row r="501" spans="1:8">
      <c r="A501" s="14">
        <v>496</v>
      </c>
      <c r="B501" s="9">
        <v>45805</v>
      </c>
      <c r="C501" s="10" t="s">
        <v>113</v>
      </c>
      <c r="D501" s="10" t="s">
        <v>15</v>
      </c>
      <c r="E501" s="11" t="s">
        <v>8</v>
      </c>
      <c r="F501" s="5">
        <v>7825.7</v>
      </c>
      <c r="G501" s="13" t="s">
        <v>114</v>
      </c>
      <c r="H501" s="12">
        <f t="shared" si="7"/>
        <v>-7825.7</v>
      </c>
    </row>
    <row r="502" spans="1:8">
      <c r="A502" s="14">
        <v>497</v>
      </c>
      <c r="B502" s="9">
        <v>45805</v>
      </c>
      <c r="C502" s="10" t="s">
        <v>113</v>
      </c>
      <c r="D502" s="10" t="s">
        <v>16</v>
      </c>
      <c r="E502" s="11" t="s">
        <v>22</v>
      </c>
      <c r="F502" s="5">
        <v>4043.12</v>
      </c>
      <c r="G502" s="13" t="s">
        <v>114</v>
      </c>
      <c r="H502" s="12">
        <f t="shared" si="7"/>
        <v>-4043.12</v>
      </c>
    </row>
    <row r="503" spans="1:8">
      <c r="A503" s="14">
        <v>498</v>
      </c>
      <c r="B503" s="9">
        <v>45805</v>
      </c>
      <c r="C503" s="10" t="s">
        <v>113</v>
      </c>
      <c r="D503" s="10" t="s">
        <v>15</v>
      </c>
      <c r="E503" s="11" t="s">
        <v>55</v>
      </c>
      <c r="F503" s="5">
        <v>2733.13</v>
      </c>
      <c r="G503" s="13" t="s">
        <v>114</v>
      </c>
      <c r="H503" s="12">
        <f t="shared" si="7"/>
        <v>-2733.13</v>
      </c>
    </row>
    <row r="504" spans="1:8">
      <c r="A504" s="14">
        <v>499</v>
      </c>
      <c r="B504" s="9">
        <v>45805</v>
      </c>
      <c r="C504" s="10" t="s">
        <v>113</v>
      </c>
      <c r="D504" s="10" t="s">
        <v>16</v>
      </c>
      <c r="E504" s="11" t="s">
        <v>45</v>
      </c>
      <c r="F504" s="5">
        <v>4717.1099999999997</v>
      </c>
      <c r="G504" s="13" t="s">
        <v>114</v>
      </c>
      <c r="H504" s="12">
        <f t="shared" si="7"/>
        <v>-4717.1099999999997</v>
      </c>
    </row>
    <row r="505" spans="1:8">
      <c r="A505" s="14">
        <v>500</v>
      </c>
      <c r="B505" s="9">
        <v>45805</v>
      </c>
      <c r="C505" s="10" t="s">
        <v>113</v>
      </c>
      <c r="D505" s="10" t="s">
        <v>14</v>
      </c>
      <c r="E505" s="11" t="s">
        <v>58</v>
      </c>
      <c r="F505" s="5">
        <v>662.9</v>
      </c>
      <c r="G505" s="13" t="s">
        <v>114</v>
      </c>
      <c r="H505" s="12">
        <f t="shared" si="7"/>
        <v>-662.9</v>
      </c>
    </row>
    <row r="506" spans="1:8">
      <c r="A506" s="14">
        <v>501</v>
      </c>
      <c r="B506" s="9">
        <v>45806</v>
      </c>
      <c r="C506" s="10" t="s">
        <v>113</v>
      </c>
      <c r="D506" s="10" t="s">
        <v>14</v>
      </c>
      <c r="E506" s="11" t="s">
        <v>23</v>
      </c>
      <c r="F506" s="5">
        <v>7704.12</v>
      </c>
      <c r="G506" s="13" t="s">
        <v>114</v>
      </c>
      <c r="H506" s="12">
        <f t="shared" si="7"/>
        <v>-7704.12</v>
      </c>
    </row>
    <row r="507" spans="1:8">
      <c r="A507" s="14">
        <v>502</v>
      </c>
      <c r="B507" s="9">
        <v>45806</v>
      </c>
      <c r="C507" s="10" t="s">
        <v>113</v>
      </c>
      <c r="D507" s="10" t="s">
        <v>16</v>
      </c>
      <c r="E507" s="11" t="s">
        <v>39</v>
      </c>
      <c r="F507" s="5">
        <v>418.25</v>
      </c>
      <c r="G507" s="13" t="s">
        <v>114</v>
      </c>
      <c r="H507" s="12">
        <f t="shared" si="7"/>
        <v>-418.25</v>
      </c>
    </row>
    <row r="508" spans="1:8">
      <c r="A508" s="14">
        <v>503</v>
      </c>
      <c r="B508" s="9">
        <v>45807</v>
      </c>
      <c r="C508" s="10" t="s">
        <v>113</v>
      </c>
      <c r="D508" s="10" t="s">
        <v>17</v>
      </c>
      <c r="E508" s="11" t="s">
        <v>54</v>
      </c>
      <c r="F508" s="5">
        <v>2725.65</v>
      </c>
      <c r="G508" s="13" t="s">
        <v>114</v>
      </c>
      <c r="H508" s="12">
        <f t="shared" si="7"/>
        <v>-2725.65</v>
      </c>
    </row>
    <row r="509" spans="1:8">
      <c r="A509" s="14">
        <v>504</v>
      </c>
      <c r="B509" s="9">
        <v>45807</v>
      </c>
      <c r="C509" s="10" t="s">
        <v>113</v>
      </c>
      <c r="D509" s="10" t="s">
        <v>15</v>
      </c>
      <c r="E509" s="11" t="s">
        <v>26</v>
      </c>
      <c r="F509" s="5">
        <v>3300.27</v>
      </c>
      <c r="G509" s="13" t="s">
        <v>114</v>
      </c>
      <c r="H509" s="12">
        <f t="shared" si="7"/>
        <v>-3300.27</v>
      </c>
    </row>
    <row r="510" spans="1:8">
      <c r="A510" s="14">
        <v>505</v>
      </c>
      <c r="B510" s="9">
        <v>45807</v>
      </c>
      <c r="C510" s="10" t="s">
        <v>113</v>
      </c>
      <c r="D510" s="10" t="s">
        <v>14</v>
      </c>
      <c r="E510" s="11" t="s">
        <v>29</v>
      </c>
      <c r="F510" s="5">
        <v>3147.01</v>
      </c>
      <c r="G510" s="13" t="s">
        <v>114</v>
      </c>
      <c r="H510" s="12">
        <f t="shared" si="7"/>
        <v>-3147.01</v>
      </c>
    </row>
    <row r="511" spans="1:8">
      <c r="A511" s="14">
        <v>506</v>
      </c>
      <c r="B511" s="9">
        <v>45807</v>
      </c>
      <c r="C511" s="10" t="s">
        <v>113</v>
      </c>
      <c r="D511" s="10" t="s">
        <v>14</v>
      </c>
      <c r="E511" s="11" t="s">
        <v>64</v>
      </c>
      <c r="F511" s="5">
        <v>1930.32</v>
      </c>
      <c r="G511" s="13" t="s">
        <v>114</v>
      </c>
      <c r="H511" s="12">
        <f t="shared" si="7"/>
        <v>-1930.32</v>
      </c>
    </row>
    <row r="512" spans="1:8">
      <c r="A512" s="14">
        <v>507</v>
      </c>
      <c r="B512" s="9">
        <v>45807</v>
      </c>
      <c r="C512" s="10" t="s">
        <v>113</v>
      </c>
      <c r="D512" s="10" t="s">
        <v>14</v>
      </c>
      <c r="E512" s="11" t="s">
        <v>29</v>
      </c>
      <c r="F512" s="5">
        <v>2289.69</v>
      </c>
      <c r="G512" s="13" t="s">
        <v>114</v>
      </c>
      <c r="H512" s="12">
        <f t="shared" si="7"/>
        <v>-2289.69</v>
      </c>
    </row>
    <row r="513" spans="1:8">
      <c r="A513" s="14">
        <v>508</v>
      </c>
      <c r="B513" s="9">
        <v>45807</v>
      </c>
      <c r="C513" s="10" t="s">
        <v>113</v>
      </c>
      <c r="D513" s="10" t="s">
        <v>9</v>
      </c>
      <c r="E513" s="11" t="s">
        <v>38</v>
      </c>
      <c r="F513" s="5">
        <v>11032.42</v>
      </c>
      <c r="G513" s="13" t="s">
        <v>114</v>
      </c>
      <c r="H513" s="12">
        <f t="shared" si="7"/>
        <v>-11032.42</v>
      </c>
    </row>
    <row r="514" spans="1:8">
      <c r="A514" s="14">
        <v>509</v>
      </c>
      <c r="B514" s="9">
        <v>45807</v>
      </c>
      <c r="C514" s="10" t="s">
        <v>113</v>
      </c>
      <c r="D514" s="10" t="s">
        <v>17</v>
      </c>
      <c r="E514" s="11" t="s">
        <v>36</v>
      </c>
      <c r="F514" s="5">
        <v>2045.5</v>
      </c>
      <c r="G514" s="13" t="s">
        <v>114</v>
      </c>
      <c r="H514" s="12">
        <f t="shared" si="7"/>
        <v>-2045.5</v>
      </c>
    </row>
    <row r="515" spans="1:8">
      <c r="A515" s="14">
        <v>510</v>
      </c>
      <c r="B515" s="9">
        <v>45807</v>
      </c>
      <c r="C515" s="10" t="s">
        <v>113</v>
      </c>
      <c r="D515" s="10" t="s">
        <v>9</v>
      </c>
      <c r="E515" s="11" t="s">
        <v>27</v>
      </c>
      <c r="F515" s="5">
        <v>2901.72</v>
      </c>
      <c r="G515" s="13" t="s">
        <v>114</v>
      </c>
      <c r="H515" s="12">
        <f t="shared" si="7"/>
        <v>-2901.72</v>
      </c>
    </row>
    <row r="516" spans="1:8">
      <c r="A516" s="14">
        <v>511</v>
      </c>
      <c r="B516" s="9">
        <v>45808</v>
      </c>
      <c r="C516" s="10" t="s">
        <v>113</v>
      </c>
      <c r="D516" s="10" t="s">
        <v>14</v>
      </c>
      <c r="E516" s="11" t="s">
        <v>64</v>
      </c>
      <c r="F516" s="5">
        <v>1428.35</v>
      </c>
      <c r="G516" s="13" t="s">
        <v>114</v>
      </c>
      <c r="H516" s="12">
        <f t="shared" si="7"/>
        <v>-1428.35</v>
      </c>
    </row>
    <row r="517" spans="1:8">
      <c r="A517" s="14">
        <v>512</v>
      </c>
      <c r="B517" s="9">
        <v>45810</v>
      </c>
      <c r="C517" s="10" t="s">
        <v>113</v>
      </c>
      <c r="D517" s="10" t="s">
        <v>10</v>
      </c>
      <c r="E517" s="11" t="s">
        <v>24</v>
      </c>
      <c r="F517" s="5">
        <v>5412.43</v>
      </c>
      <c r="G517" s="13" t="s">
        <v>114</v>
      </c>
      <c r="H517" s="12">
        <f t="shared" ref="H517:H580" si="8">IF(C517="Despesa", F517*-1, F517)</f>
        <v>-5412.43</v>
      </c>
    </row>
    <row r="518" spans="1:8">
      <c r="A518" s="14">
        <v>513</v>
      </c>
      <c r="B518" s="9">
        <v>45810</v>
      </c>
      <c r="C518" s="10" t="s">
        <v>113</v>
      </c>
      <c r="D518" s="10" t="s">
        <v>16</v>
      </c>
      <c r="E518" s="11" t="s">
        <v>39</v>
      </c>
      <c r="F518" s="5">
        <v>659.36</v>
      </c>
      <c r="G518" s="13" t="s">
        <v>114</v>
      </c>
      <c r="H518" s="12">
        <f t="shared" si="8"/>
        <v>-659.36</v>
      </c>
    </row>
    <row r="519" spans="1:8">
      <c r="A519" s="14">
        <v>514</v>
      </c>
      <c r="B519" s="9">
        <v>45810</v>
      </c>
      <c r="C519" s="10" t="s">
        <v>113</v>
      </c>
      <c r="D519" s="10" t="s">
        <v>17</v>
      </c>
      <c r="E519" s="11" t="s">
        <v>42</v>
      </c>
      <c r="F519" s="5">
        <v>351.48</v>
      </c>
      <c r="G519" s="13" t="s">
        <v>114</v>
      </c>
      <c r="H519" s="12">
        <f t="shared" si="8"/>
        <v>-351.48</v>
      </c>
    </row>
    <row r="520" spans="1:8">
      <c r="A520" s="14">
        <v>515</v>
      </c>
      <c r="B520" s="9">
        <v>45811</v>
      </c>
      <c r="C520" s="10" t="s">
        <v>113</v>
      </c>
      <c r="D520" s="10" t="s">
        <v>14</v>
      </c>
      <c r="E520" s="11" t="s">
        <v>40</v>
      </c>
      <c r="F520" s="5">
        <v>3276.12</v>
      </c>
      <c r="G520" s="13" t="s">
        <v>114</v>
      </c>
      <c r="H520" s="12">
        <f t="shared" si="8"/>
        <v>-3276.12</v>
      </c>
    </row>
    <row r="521" spans="1:8">
      <c r="A521" s="14">
        <v>516</v>
      </c>
      <c r="B521" s="9">
        <v>45811</v>
      </c>
      <c r="C521" s="10" t="s">
        <v>113</v>
      </c>
      <c r="D521" s="10" t="s">
        <v>14</v>
      </c>
      <c r="E521" s="11" t="s">
        <v>29</v>
      </c>
      <c r="F521" s="5">
        <v>1520.74</v>
      </c>
      <c r="G521" s="13" t="s">
        <v>114</v>
      </c>
      <c r="H521" s="12">
        <f t="shared" si="8"/>
        <v>-1520.74</v>
      </c>
    </row>
    <row r="522" spans="1:8">
      <c r="A522" s="14">
        <v>517</v>
      </c>
      <c r="B522" s="9">
        <v>45811</v>
      </c>
      <c r="C522" s="10" t="s">
        <v>113</v>
      </c>
      <c r="D522" s="10" t="s">
        <v>15</v>
      </c>
      <c r="E522" s="11" t="s">
        <v>7</v>
      </c>
      <c r="F522" s="5">
        <v>1520.79</v>
      </c>
      <c r="G522" s="13" t="s">
        <v>114</v>
      </c>
      <c r="H522" s="12">
        <f t="shared" si="8"/>
        <v>-1520.79</v>
      </c>
    </row>
    <row r="523" spans="1:8">
      <c r="A523" s="14">
        <v>518</v>
      </c>
      <c r="B523" s="9">
        <v>45811</v>
      </c>
      <c r="C523" s="10" t="s">
        <v>113</v>
      </c>
      <c r="D523" s="10" t="s">
        <v>17</v>
      </c>
      <c r="E523" s="11" t="s">
        <v>54</v>
      </c>
      <c r="F523" s="5">
        <v>1062.54</v>
      </c>
      <c r="G523" s="13" t="s">
        <v>114</v>
      </c>
      <c r="H523" s="12">
        <f t="shared" si="8"/>
        <v>-1062.54</v>
      </c>
    </row>
    <row r="524" spans="1:8">
      <c r="A524" s="14">
        <v>519</v>
      </c>
      <c r="B524" s="9">
        <v>45813</v>
      </c>
      <c r="C524" s="10" t="s">
        <v>113</v>
      </c>
      <c r="D524" s="10" t="s">
        <v>14</v>
      </c>
      <c r="E524" s="11" t="s">
        <v>23</v>
      </c>
      <c r="F524" s="5">
        <v>3252.79</v>
      </c>
      <c r="G524" s="13" t="s">
        <v>114</v>
      </c>
      <c r="H524" s="12">
        <f t="shared" si="8"/>
        <v>-3252.79</v>
      </c>
    </row>
    <row r="525" spans="1:8">
      <c r="A525" s="14">
        <v>520</v>
      </c>
      <c r="B525" s="9">
        <v>45813</v>
      </c>
      <c r="C525" s="10" t="s">
        <v>113</v>
      </c>
      <c r="D525" s="10" t="s">
        <v>16</v>
      </c>
      <c r="E525" s="11" t="s">
        <v>28</v>
      </c>
      <c r="F525" s="5">
        <v>1867</v>
      </c>
      <c r="G525" s="13" t="s">
        <v>114</v>
      </c>
      <c r="H525" s="12">
        <f t="shared" si="8"/>
        <v>-1867</v>
      </c>
    </row>
    <row r="526" spans="1:8">
      <c r="A526" s="14">
        <v>521</v>
      </c>
      <c r="B526" s="9">
        <v>45813</v>
      </c>
      <c r="C526" s="10" t="s">
        <v>113</v>
      </c>
      <c r="D526" s="10" t="s">
        <v>10</v>
      </c>
      <c r="E526" s="11" t="s">
        <v>53</v>
      </c>
      <c r="F526" s="5">
        <v>2146.5500000000002</v>
      </c>
      <c r="G526" s="13" t="s">
        <v>114</v>
      </c>
      <c r="H526" s="12">
        <f t="shared" si="8"/>
        <v>-2146.5500000000002</v>
      </c>
    </row>
    <row r="527" spans="1:8">
      <c r="A527" s="14">
        <v>522</v>
      </c>
      <c r="B527" s="9">
        <v>45813</v>
      </c>
      <c r="C527" s="10" t="s">
        <v>113</v>
      </c>
      <c r="D527" s="10" t="s">
        <v>10</v>
      </c>
      <c r="E527" s="11" t="s">
        <v>65</v>
      </c>
      <c r="F527" s="5">
        <v>5043.29</v>
      </c>
      <c r="G527" s="13" t="s">
        <v>114</v>
      </c>
      <c r="H527" s="12">
        <f t="shared" si="8"/>
        <v>-5043.29</v>
      </c>
    </row>
    <row r="528" spans="1:8">
      <c r="A528" s="14">
        <v>523</v>
      </c>
      <c r="B528" s="9">
        <v>45814</v>
      </c>
      <c r="C528" s="10" t="s">
        <v>113</v>
      </c>
      <c r="D528" s="10" t="s">
        <v>15</v>
      </c>
      <c r="E528" s="11" t="s">
        <v>7</v>
      </c>
      <c r="F528" s="5">
        <v>972.12</v>
      </c>
      <c r="G528" s="13" t="s">
        <v>114</v>
      </c>
      <c r="H528" s="12">
        <f t="shared" si="8"/>
        <v>-972.12</v>
      </c>
    </row>
    <row r="529" spans="1:8">
      <c r="A529" s="14">
        <v>524</v>
      </c>
      <c r="B529" s="9">
        <v>45814</v>
      </c>
      <c r="C529" s="10" t="s">
        <v>113</v>
      </c>
      <c r="D529" s="10" t="s">
        <v>10</v>
      </c>
      <c r="E529" s="11" t="s">
        <v>24</v>
      </c>
      <c r="F529" s="5">
        <v>8670.3700000000008</v>
      </c>
      <c r="G529" s="13" t="s">
        <v>114</v>
      </c>
      <c r="H529" s="12">
        <f t="shared" si="8"/>
        <v>-8670.3700000000008</v>
      </c>
    </row>
    <row r="530" spans="1:8">
      <c r="A530" s="14">
        <v>525</v>
      </c>
      <c r="B530" s="9">
        <v>45815</v>
      </c>
      <c r="C530" s="10" t="s">
        <v>113</v>
      </c>
      <c r="D530" s="10" t="s">
        <v>16</v>
      </c>
      <c r="E530" s="11" t="s">
        <v>22</v>
      </c>
      <c r="F530" s="5">
        <v>2452.69</v>
      </c>
      <c r="G530" s="13" t="s">
        <v>114</v>
      </c>
      <c r="H530" s="12">
        <f t="shared" si="8"/>
        <v>-2452.69</v>
      </c>
    </row>
    <row r="531" spans="1:8">
      <c r="A531" s="14">
        <v>526</v>
      </c>
      <c r="B531" s="9">
        <v>45815</v>
      </c>
      <c r="C531" s="10" t="s">
        <v>113</v>
      </c>
      <c r="D531" s="10" t="s">
        <v>14</v>
      </c>
      <c r="E531" s="11" t="s">
        <v>69</v>
      </c>
      <c r="F531" s="5">
        <v>5011.3900000000003</v>
      </c>
      <c r="G531" s="13" t="s">
        <v>114</v>
      </c>
      <c r="H531" s="12">
        <f t="shared" si="8"/>
        <v>-5011.3900000000003</v>
      </c>
    </row>
    <row r="532" spans="1:8">
      <c r="A532" s="14">
        <v>527</v>
      </c>
      <c r="B532" s="9">
        <v>45815</v>
      </c>
      <c r="C532" s="10" t="s">
        <v>113</v>
      </c>
      <c r="D532" s="10" t="s">
        <v>17</v>
      </c>
      <c r="E532" s="11" t="s">
        <v>48</v>
      </c>
      <c r="F532" s="5">
        <v>2989.61</v>
      </c>
      <c r="G532" s="13" t="s">
        <v>114</v>
      </c>
      <c r="H532" s="12">
        <f t="shared" si="8"/>
        <v>-2989.61</v>
      </c>
    </row>
    <row r="533" spans="1:8">
      <c r="A533" s="14">
        <v>528</v>
      </c>
      <c r="B533" s="9">
        <v>45815</v>
      </c>
      <c r="C533" s="10" t="s">
        <v>113</v>
      </c>
      <c r="D533" s="10" t="s">
        <v>16</v>
      </c>
      <c r="E533" s="11" t="s">
        <v>22</v>
      </c>
      <c r="F533" s="5">
        <v>1125.1600000000001</v>
      </c>
      <c r="G533" s="13" t="s">
        <v>114</v>
      </c>
      <c r="H533" s="12">
        <f t="shared" si="8"/>
        <v>-1125.1600000000001</v>
      </c>
    </row>
    <row r="534" spans="1:8">
      <c r="A534" s="14">
        <v>529</v>
      </c>
      <c r="B534" s="9">
        <v>45816</v>
      </c>
      <c r="C534" s="10" t="s">
        <v>113</v>
      </c>
      <c r="D534" s="10" t="s">
        <v>10</v>
      </c>
      <c r="E534" s="11" t="s">
        <v>65</v>
      </c>
      <c r="F534" s="5">
        <v>3928.19</v>
      </c>
      <c r="G534" s="13" t="s">
        <v>114</v>
      </c>
      <c r="H534" s="12">
        <f t="shared" si="8"/>
        <v>-3928.19</v>
      </c>
    </row>
    <row r="535" spans="1:8">
      <c r="A535" s="14">
        <v>530</v>
      </c>
      <c r="B535" s="9">
        <v>45817</v>
      </c>
      <c r="C535" s="10" t="s">
        <v>113</v>
      </c>
      <c r="D535" s="10" t="s">
        <v>15</v>
      </c>
      <c r="E535" s="11" t="s">
        <v>49</v>
      </c>
      <c r="F535" s="5">
        <v>2540.67</v>
      </c>
      <c r="G535" s="13" t="s">
        <v>114</v>
      </c>
      <c r="H535" s="12">
        <f t="shared" si="8"/>
        <v>-2540.67</v>
      </c>
    </row>
    <row r="536" spans="1:8">
      <c r="A536" s="14">
        <v>531</v>
      </c>
      <c r="B536" s="9">
        <v>45817</v>
      </c>
      <c r="C536" s="10" t="s">
        <v>113</v>
      </c>
      <c r="D536" s="10" t="s">
        <v>10</v>
      </c>
      <c r="E536" s="11" t="s">
        <v>35</v>
      </c>
      <c r="F536" s="5">
        <v>15555.42</v>
      </c>
      <c r="G536" s="13" t="s">
        <v>114</v>
      </c>
      <c r="H536" s="12">
        <f t="shared" si="8"/>
        <v>-15555.42</v>
      </c>
    </row>
    <row r="537" spans="1:8">
      <c r="A537" s="14">
        <v>532</v>
      </c>
      <c r="B537" s="9">
        <v>45817</v>
      </c>
      <c r="C537" s="10" t="s">
        <v>113</v>
      </c>
      <c r="D537" s="10" t="s">
        <v>14</v>
      </c>
      <c r="E537" s="11" t="s">
        <v>40</v>
      </c>
      <c r="F537" s="5">
        <v>7864.52</v>
      </c>
      <c r="G537" s="13" t="s">
        <v>114</v>
      </c>
      <c r="H537" s="12">
        <f t="shared" si="8"/>
        <v>-7864.52</v>
      </c>
    </row>
    <row r="538" spans="1:8">
      <c r="A538" s="14">
        <v>533</v>
      </c>
      <c r="B538" s="9">
        <v>45817</v>
      </c>
      <c r="C538" s="10" t="s">
        <v>113</v>
      </c>
      <c r="D538" s="10" t="s">
        <v>14</v>
      </c>
      <c r="E538" s="11" t="s">
        <v>29</v>
      </c>
      <c r="F538" s="5">
        <v>2878.9</v>
      </c>
      <c r="G538" s="13" t="s">
        <v>114</v>
      </c>
      <c r="H538" s="12">
        <f t="shared" si="8"/>
        <v>-2878.9</v>
      </c>
    </row>
    <row r="539" spans="1:8">
      <c r="A539" s="14">
        <v>534</v>
      </c>
      <c r="B539" s="9">
        <v>45817</v>
      </c>
      <c r="C539" s="10" t="s">
        <v>113</v>
      </c>
      <c r="D539" s="10" t="s">
        <v>17</v>
      </c>
      <c r="E539" s="11" t="s">
        <v>20</v>
      </c>
      <c r="F539" s="5">
        <v>136.71</v>
      </c>
      <c r="G539" s="13" t="s">
        <v>114</v>
      </c>
      <c r="H539" s="12">
        <f t="shared" si="8"/>
        <v>-136.71</v>
      </c>
    </row>
    <row r="540" spans="1:8">
      <c r="A540" s="14">
        <v>535</v>
      </c>
      <c r="B540" s="9">
        <v>45818</v>
      </c>
      <c r="C540" s="10" t="s">
        <v>113</v>
      </c>
      <c r="D540" s="10" t="s">
        <v>10</v>
      </c>
      <c r="E540" s="11" t="s">
        <v>65</v>
      </c>
      <c r="F540" s="5">
        <v>5363.01</v>
      </c>
      <c r="G540" s="13" t="s">
        <v>114</v>
      </c>
      <c r="H540" s="12">
        <f t="shared" si="8"/>
        <v>-5363.01</v>
      </c>
    </row>
    <row r="541" spans="1:8">
      <c r="A541" s="14">
        <v>536</v>
      </c>
      <c r="B541" s="9">
        <v>45818</v>
      </c>
      <c r="C541" s="10" t="s">
        <v>113</v>
      </c>
      <c r="D541" s="10" t="s">
        <v>15</v>
      </c>
      <c r="E541" s="11" t="s">
        <v>49</v>
      </c>
      <c r="F541" s="5">
        <v>1581.5</v>
      </c>
      <c r="G541" s="13" t="s">
        <v>114</v>
      </c>
      <c r="H541" s="12">
        <f t="shared" si="8"/>
        <v>-1581.5</v>
      </c>
    </row>
    <row r="542" spans="1:8">
      <c r="A542" s="14">
        <v>537</v>
      </c>
      <c r="B542" s="9">
        <v>45818</v>
      </c>
      <c r="C542" s="10" t="s">
        <v>113</v>
      </c>
      <c r="D542" s="10" t="s">
        <v>15</v>
      </c>
      <c r="E542" s="11" t="s">
        <v>61</v>
      </c>
      <c r="F542" s="5">
        <v>1500.82</v>
      </c>
      <c r="G542" s="13" t="s">
        <v>114</v>
      </c>
      <c r="H542" s="12">
        <f t="shared" si="8"/>
        <v>-1500.82</v>
      </c>
    </row>
    <row r="543" spans="1:8">
      <c r="A543" s="14">
        <v>538</v>
      </c>
      <c r="B543" s="9">
        <v>45818</v>
      </c>
      <c r="C543" s="10" t="s">
        <v>113</v>
      </c>
      <c r="D543" s="10" t="s">
        <v>16</v>
      </c>
      <c r="E543" s="11" t="s">
        <v>33</v>
      </c>
      <c r="F543" s="5">
        <v>800.06</v>
      </c>
      <c r="G543" s="13" t="s">
        <v>114</v>
      </c>
      <c r="H543" s="12">
        <f t="shared" si="8"/>
        <v>-800.06</v>
      </c>
    </row>
    <row r="544" spans="1:8">
      <c r="A544" s="14">
        <v>539</v>
      </c>
      <c r="B544" s="9">
        <v>45819</v>
      </c>
      <c r="C544" s="10" t="s">
        <v>113</v>
      </c>
      <c r="D544" s="10" t="s">
        <v>15</v>
      </c>
      <c r="E544" s="11" t="s">
        <v>43</v>
      </c>
      <c r="F544" s="5">
        <v>1387.07</v>
      </c>
      <c r="G544" s="13" t="s">
        <v>114</v>
      </c>
      <c r="H544" s="12">
        <f t="shared" si="8"/>
        <v>-1387.07</v>
      </c>
    </row>
    <row r="545" spans="1:8">
      <c r="A545" s="14">
        <v>540</v>
      </c>
      <c r="B545" s="9">
        <v>45819</v>
      </c>
      <c r="C545" s="10" t="s">
        <v>113</v>
      </c>
      <c r="D545" s="10" t="s">
        <v>15</v>
      </c>
      <c r="E545" s="11" t="s">
        <v>49</v>
      </c>
      <c r="F545" s="5">
        <v>1662.82</v>
      </c>
      <c r="G545" s="13" t="s">
        <v>114</v>
      </c>
      <c r="H545" s="12">
        <f t="shared" si="8"/>
        <v>-1662.82</v>
      </c>
    </row>
    <row r="546" spans="1:8">
      <c r="A546" s="14">
        <v>541</v>
      </c>
      <c r="B546" s="9">
        <v>45820</v>
      </c>
      <c r="C546" s="10" t="s">
        <v>113</v>
      </c>
      <c r="D546" s="10" t="s">
        <v>15</v>
      </c>
      <c r="E546" s="11" t="s">
        <v>66</v>
      </c>
      <c r="F546" s="5">
        <v>18150.88</v>
      </c>
      <c r="G546" s="13" t="s">
        <v>114</v>
      </c>
      <c r="H546" s="12">
        <f t="shared" si="8"/>
        <v>-18150.88</v>
      </c>
    </row>
    <row r="547" spans="1:8">
      <c r="A547" s="14">
        <v>542</v>
      </c>
      <c r="B547" s="9">
        <v>45820</v>
      </c>
      <c r="C547" s="10" t="s">
        <v>113</v>
      </c>
      <c r="D547" s="10" t="s">
        <v>16</v>
      </c>
      <c r="E547" s="11" t="s">
        <v>22</v>
      </c>
      <c r="F547" s="5">
        <v>4478.25</v>
      </c>
      <c r="G547" s="13" t="s">
        <v>114</v>
      </c>
      <c r="H547" s="12">
        <f t="shared" si="8"/>
        <v>-4478.25</v>
      </c>
    </row>
    <row r="548" spans="1:8">
      <c r="A548" s="14">
        <v>543</v>
      </c>
      <c r="B548" s="9">
        <v>45820</v>
      </c>
      <c r="C548" s="10" t="s">
        <v>113</v>
      </c>
      <c r="D548" s="10" t="s">
        <v>10</v>
      </c>
      <c r="E548" s="11" t="s">
        <v>35</v>
      </c>
      <c r="F548" s="5">
        <v>9808.2800000000007</v>
      </c>
      <c r="G548" s="13" t="s">
        <v>114</v>
      </c>
      <c r="H548" s="12">
        <f t="shared" si="8"/>
        <v>-9808.2800000000007</v>
      </c>
    </row>
    <row r="549" spans="1:8">
      <c r="A549" s="14">
        <v>544</v>
      </c>
      <c r="B549" s="9">
        <v>45820</v>
      </c>
      <c r="C549" s="10" t="s">
        <v>113</v>
      </c>
      <c r="D549" s="10" t="s">
        <v>14</v>
      </c>
      <c r="E549" s="11" t="s">
        <v>69</v>
      </c>
      <c r="F549" s="5">
        <v>2992.5</v>
      </c>
      <c r="G549" s="13" t="s">
        <v>114</v>
      </c>
      <c r="H549" s="12">
        <f t="shared" si="8"/>
        <v>-2992.5</v>
      </c>
    </row>
    <row r="550" spans="1:8">
      <c r="A550" s="14">
        <v>545</v>
      </c>
      <c r="B550" s="9">
        <v>45820</v>
      </c>
      <c r="C550" s="10" t="s">
        <v>113</v>
      </c>
      <c r="D550" s="10" t="s">
        <v>15</v>
      </c>
      <c r="E550" s="11" t="s">
        <v>71</v>
      </c>
      <c r="F550" s="5">
        <v>2387.1</v>
      </c>
      <c r="G550" s="13" t="s">
        <v>114</v>
      </c>
      <c r="H550" s="12">
        <f t="shared" si="8"/>
        <v>-2387.1</v>
      </c>
    </row>
    <row r="551" spans="1:8">
      <c r="A551" s="14">
        <v>546</v>
      </c>
      <c r="B551" s="9">
        <v>45820</v>
      </c>
      <c r="C551" s="10" t="s">
        <v>113</v>
      </c>
      <c r="D551" s="10" t="s">
        <v>16</v>
      </c>
      <c r="E551" s="11" t="s">
        <v>28</v>
      </c>
      <c r="F551" s="5">
        <v>2214.46</v>
      </c>
      <c r="G551" s="13" t="s">
        <v>114</v>
      </c>
      <c r="H551" s="12">
        <f t="shared" si="8"/>
        <v>-2214.46</v>
      </c>
    </row>
    <row r="552" spans="1:8">
      <c r="A552" s="14">
        <v>547</v>
      </c>
      <c r="B552" s="9">
        <v>45820</v>
      </c>
      <c r="C552" s="10" t="s">
        <v>113</v>
      </c>
      <c r="D552" s="10" t="s">
        <v>17</v>
      </c>
      <c r="E552" s="11" t="s">
        <v>36</v>
      </c>
      <c r="F552" s="5">
        <v>1577.82</v>
      </c>
      <c r="G552" s="13" t="s">
        <v>114</v>
      </c>
      <c r="H552" s="12">
        <f t="shared" si="8"/>
        <v>-1577.82</v>
      </c>
    </row>
    <row r="553" spans="1:8">
      <c r="A553" s="14">
        <v>548</v>
      </c>
      <c r="B553" s="9">
        <v>45821</v>
      </c>
      <c r="C553" s="10" t="s">
        <v>113</v>
      </c>
      <c r="D553" s="10" t="s">
        <v>14</v>
      </c>
      <c r="E553" s="11" t="s">
        <v>29</v>
      </c>
      <c r="F553" s="5">
        <v>1021.03</v>
      </c>
      <c r="G553" s="13" t="s">
        <v>114</v>
      </c>
      <c r="H553" s="12">
        <f t="shared" si="8"/>
        <v>-1021.03</v>
      </c>
    </row>
    <row r="554" spans="1:8">
      <c r="A554" s="14">
        <v>549</v>
      </c>
      <c r="B554" s="9">
        <v>45821</v>
      </c>
      <c r="C554" s="10" t="s">
        <v>113</v>
      </c>
      <c r="D554" s="10" t="s">
        <v>15</v>
      </c>
      <c r="E554" s="11" t="s">
        <v>55</v>
      </c>
      <c r="F554" s="5">
        <v>2044.55</v>
      </c>
      <c r="G554" s="13" t="s">
        <v>114</v>
      </c>
      <c r="H554" s="12">
        <f t="shared" si="8"/>
        <v>-2044.55</v>
      </c>
    </row>
    <row r="555" spans="1:8">
      <c r="A555" s="14">
        <v>550</v>
      </c>
      <c r="B555" s="9">
        <v>45821</v>
      </c>
      <c r="C555" s="10" t="s">
        <v>113</v>
      </c>
      <c r="D555" s="10" t="s">
        <v>17</v>
      </c>
      <c r="E555" s="11" t="s">
        <v>20</v>
      </c>
      <c r="F555" s="5">
        <v>108.44</v>
      </c>
      <c r="G555" s="13" t="s">
        <v>114</v>
      </c>
      <c r="H555" s="12">
        <f t="shared" si="8"/>
        <v>-108.44</v>
      </c>
    </row>
    <row r="556" spans="1:8">
      <c r="A556" s="14">
        <v>551</v>
      </c>
      <c r="B556" s="9">
        <v>45821</v>
      </c>
      <c r="C556" s="10" t="s">
        <v>113</v>
      </c>
      <c r="D556" s="10" t="s">
        <v>10</v>
      </c>
      <c r="E556" s="11" t="s">
        <v>70</v>
      </c>
      <c r="F556" s="5">
        <v>4671.84</v>
      </c>
      <c r="G556" s="13" t="s">
        <v>114</v>
      </c>
      <c r="H556" s="12">
        <f t="shared" si="8"/>
        <v>-4671.84</v>
      </c>
    </row>
    <row r="557" spans="1:8">
      <c r="A557" s="14">
        <v>552</v>
      </c>
      <c r="B557" s="9">
        <v>45821</v>
      </c>
      <c r="C557" s="10" t="s">
        <v>113</v>
      </c>
      <c r="D557" s="10" t="s">
        <v>10</v>
      </c>
      <c r="E557" s="11" t="s">
        <v>65</v>
      </c>
      <c r="F557" s="5">
        <v>5075.78</v>
      </c>
      <c r="G557" s="13" t="s">
        <v>114</v>
      </c>
      <c r="H557" s="12">
        <f t="shared" si="8"/>
        <v>-5075.78</v>
      </c>
    </row>
    <row r="558" spans="1:8">
      <c r="A558" s="14">
        <v>553</v>
      </c>
      <c r="B558" s="9">
        <v>45821</v>
      </c>
      <c r="C558" s="10" t="s">
        <v>113</v>
      </c>
      <c r="D558" s="10" t="s">
        <v>9</v>
      </c>
      <c r="E558" s="11" t="s">
        <v>27</v>
      </c>
      <c r="F558" s="5">
        <v>3153.57</v>
      </c>
      <c r="G558" s="13" t="s">
        <v>114</v>
      </c>
      <c r="H558" s="12">
        <f t="shared" si="8"/>
        <v>-3153.57</v>
      </c>
    </row>
    <row r="559" spans="1:8">
      <c r="A559" s="14">
        <v>554</v>
      </c>
      <c r="B559" s="9">
        <v>45822</v>
      </c>
      <c r="C559" s="10" t="s">
        <v>113</v>
      </c>
      <c r="D559" s="10" t="s">
        <v>16</v>
      </c>
      <c r="E559" s="11" t="s">
        <v>28</v>
      </c>
      <c r="F559" s="5">
        <v>4178.1000000000004</v>
      </c>
      <c r="G559" s="13" t="s">
        <v>114</v>
      </c>
      <c r="H559" s="12">
        <f t="shared" si="8"/>
        <v>-4178.1000000000004</v>
      </c>
    </row>
    <row r="560" spans="1:8">
      <c r="A560" s="14">
        <v>555</v>
      </c>
      <c r="B560" s="9">
        <v>45822</v>
      </c>
      <c r="C560" s="10" t="s">
        <v>113</v>
      </c>
      <c r="D560" s="10" t="s">
        <v>16</v>
      </c>
      <c r="E560" s="11" t="s">
        <v>22</v>
      </c>
      <c r="F560" s="5">
        <v>3438.33</v>
      </c>
      <c r="G560" s="13" t="s">
        <v>114</v>
      </c>
      <c r="H560" s="12">
        <f t="shared" si="8"/>
        <v>-3438.33</v>
      </c>
    </row>
    <row r="561" spans="1:8">
      <c r="A561" s="14">
        <v>556</v>
      </c>
      <c r="B561" s="9">
        <v>45822</v>
      </c>
      <c r="C561" s="10" t="s">
        <v>113</v>
      </c>
      <c r="D561" s="10" t="s">
        <v>15</v>
      </c>
      <c r="E561" s="11" t="s">
        <v>55</v>
      </c>
      <c r="F561" s="5">
        <v>727.31</v>
      </c>
      <c r="G561" s="13" t="s">
        <v>114</v>
      </c>
      <c r="H561" s="12">
        <f t="shared" si="8"/>
        <v>-727.31</v>
      </c>
    </row>
    <row r="562" spans="1:8">
      <c r="A562" s="14">
        <v>557</v>
      </c>
      <c r="B562" s="9">
        <v>45824</v>
      </c>
      <c r="C562" s="10" t="s">
        <v>113</v>
      </c>
      <c r="D562" s="10" t="s">
        <v>15</v>
      </c>
      <c r="E562" s="11" t="s">
        <v>55</v>
      </c>
      <c r="F562" s="5">
        <v>3732.34</v>
      </c>
      <c r="G562" s="13" t="s">
        <v>114</v>
      </c>
      <c r="H562" s="12">
        <f t="shared" si="8"/>
        <v>-3732.34</v>
      </c>
    </row>
    <row r="563" spans="1:8">
      <c r="A563" s="14">
        <v>558</v>
      </c>
      <c r="B563" s="9">
        <v>45824</v>
      </c>
      <c r="C563" s="10" t="s">
        <v>113</v>
      </c>
      <c r="D563" s="10" t="s">
        <v>9</v>
      </c>
      <c r="E563" s="11" t="s">
        <v>27</v>
      </c>
      <c r="F563" s="5">
        <v>2335.77</v>
      </c>
      <c r="G563" s="13" t="s">
        <v>114</v>
      </c>
      <c r="H563" s="12">
        <f t="shared" si="8"/>
        <v>-2335.77</v>
      </c>
    </row>
    <row r="564" spans="1:8">
      <c r="A564" s="14">
        <v>559</v>
      </c>
      <c r="B564" s="9">
        <v>45824</v>
      </c>
      <c r="C564" s="10" t="s">
        <v>113</v>
      </c>
      <c r="D564" s="10" t="s">
        <v>15</v>
      </c>
      <c r="E564" s="11" t="s">
        <v>66</v>
      </c>
      <c r="F564" s="5">
        <v>13376.84</v>
      </c>
      <c r="G564" s="13" t="s">
        <v>114</v>
      </c>
      <c r="H564" s="12">
        <f t="shared" si="8"/>
        <v>-13376.84</v>
      </c>
    </row>
    <row r="565" spans="1:8">
      <c r="A565" s="14">
        <v>560</v>
      </c>
      <c r="B565" s="9">
        <v>45825</v>
      </c>
      <c r="C565" s="10" t="s">
        <v>113</v>
      </c>
      <c r="D565" s="10" t="s">
        <v>16</v>
      </c>
      <c r="E565" s="11" t="s">
        <v>57</v>
      </c>
      <c r="F565" s="5">
        <v>1896.75</v>
      </c>
      <c r="G565" s="13" t="s">
        <v>114</v>
      </c>
      <c r="H565" s="12">
        <f t="shared" si="8"/>
        <v>-1896.75</v>
      </c>
    </row>
    <row r="566" spans="1:8">
      <c r="A566" s="14">
        <v>561</v>
      </c>
      <c r="B566" s="9">
        <v>45825</v>
      </c>
      <c r="C566" s="10" t="s">
        <v>113</v>
      </c>
      <c r="D566" s="10" t="s">
        <v>10</v>
      </c>
      <c r="E566" s="11" t="s">
        <v>53</v>
      </c>
      <c r="F566" s="5">
        <v>1803.21</v>
      </c>
      <c r="G566" s="13" t="s">
        <v>114</v>
      </c>
      <c r="H566" s="12">
        <f t="shared" si="8"/>
        <v>-1803.21</v>
      </c>
    </row>
    <row r="567" spans="1:8">
      <c r="A567" s="14">
        <v>562</v>
      </c>
      <c r="B567" s="9">
        <v>45825</v>
      </c>
      <c r="C567" s="10" t="s">
        <v>113</v>
      </c>
      <c r="D567" s="10" t="s">
        <v>15</v>
      </c>
      <c r="E567" s="11" t="s">
        <v>37</v>
      </c>
      <c r="F567" s="5">
        <v>459.88</v>
      </c>
      <c r="G567" s="13" t="s">
        <v>114</v>
      </c>
      <c r="H567" s="12">
        <f t="shared" si="8"/>
        <v>-459.88</v>
      </c>
    </row>
    <row r="568" spans="1:8">
      <c r="A568" s="14">
        <v>563</v>
      </c>
      <c r="B568" s="9">
        <v>45825</v>
      </c>
      <c r="C568" s="10" t="s">
        <v>113</v>
      </c>
      <c r="D568" s="10" t="s">
        <v>9</v>
      </c>
      <c r="E568" s="11" t="s">
        <v>67</v>
      </c>
      <c r="F568" s="5">
        <v>1234.25</v>
      </c>
      <c r="G568" s="13" t="s">
        <v>114</v>
      </c>
      <c r="H568" s="12">
        <f t="shared" si="8"/>
        <v>-1234.25</v>
      </c>
    </row>
    <row r="569" spans="1:8">
      <c r="A569" s="14">
        <v>564</v>
      </c>
      <c r="B569" s="9">
        <v>45825</v>
      </c>
      <c r="C569" s="10" t="s">
        <v>113</v>
      </c>
      <c r="D569" s="10" t="s">
        <v>16</v>
      </c>
      <c r="E569" s="11" t="s">
        <v>28</v>
      </c>
      <c r="F569" s="5">
        <v>7659.53</v>
      </c>
      <c r="G569" s="13" t="s">
        <v>114</v>
      </c>
      <c r="H569" s="12">
        <f t="shared" si="8"/>
        <v>-7659.53</v>
      </c>
    </row>
    <row r="570" spans="1:8">
      <c r="A570" s="14">
        <v>565</v>
      </c>
      <c r="B570" s="9">
        <v>45825</v>
      </c>
      <c r="C570" s="10" t="s">
        <v>113</v>
      </c>
      <c r="D570" s="10" t="s">
        <v>14</v>
      </c>
      <c r="E570" s="11" t="s">
        <v>52</v>
      </c>
      <c r="F570" s="5">
        <v>871.91</v>
      </c>
      <c r="G570" s="13" t="s">
        <v>114</v>
      </c>
      <c r="H570" s="12">
        <f t="shared" si="8"/>
        <v>-871.91</v>
      </c>
    </row>
    <row r="571" spans="1:8">
      <c r="A571" s="14">
        <v>566</v>
      </c>
      <c r="B571" s="9">
        <v>45827</v>
      </c>
      <c r="C571" s="10" t="s">
        <v>113</v>
      </c>
      <c r="D571" s="10" t="s">
        <v>10</v>
      </c>
      <c r="E571" s="11" t="s">
        <v>19</v>
      </c>
      <c r="F571" s="5">
        <v>12335.54</v>
      </c>
      <c r="G571" s="13" t="s">
        <v>114</v>
      </c>
      <c r="H571" s="12">
        <f t="shared" si="8"/>
        <v>-12335.54</v>
      </c>
    </row>
    <row r="572" spans="1:8">
      <c r="A572" s="14">
        <v>567</v>
      </c>
      <c r="B572" s="9">
        <v>45827</v>
      </c>
      <c r="C572" s="10" t="s">
        <v>113</v>
      </c>
      <c r="D572" s="10" t="s">
        <v>15</v>
      </c>
      <c r="E572" s="11" t="s">
        <v>7</v>
      </c>
      <c r="F572" s="5">
        <v>1232.27</v>
      </c>
      <c r="G572" s="13" t="s">
        <v>114</v>
      </c>
      <c r="H572" s="12">
        <f t="shared" si="8"/>
        <v>-1232.27</v>
      </c>
    </row>
    <row r="573" spans="1:8">
      <c r="A573" s="14">
        <v>568</v>
      </c>
      <c r="B573" s="9">
        <v>45827</v>
      </c>
      <c r="C573" s="10" t="s">
        <v>113</v>
      </c>
      <c r="D573" s="10" t="s">
        <v>15</v>
      </c>
      <c r="E573" s="11" t="s">
        <v>8</v>
      </c>
      <c r="F573" s="5">
        <v>8630.3799999999992</v>
      </c>
      <c r="G573" s="13" t="s">
        <v>114</v>
      </c>
      <c r="H573" s="12">
        <f t="shared" si="8"/>
        <v>-8630.3799999999992</v>
      </c>
    </row>
    <row r="574" spans="1:8">
      <c r="A574" s="14">
        <v>569</v>
      </c>
      <c r="B574" s="9">
        <v>45828</v>
      </c>
      <c r="C574" s="10" t="s">
        <v>113</v>
      </c>
      <c r="D574" s="10" t="s">
        <v>17</v>
      </c>
      <c r="E574" s="11" t="s">
        <v>31</v>
      </c>
      <c r="F574" s="5">
        <v>10528.45</v>
      </c>
      <c r="G574" s="13" t="s">
        <v>114</v>
      </c>
      <c r="H574" s="12">
        <f t="shared" si="8"/>
        <v>-10528.45</v>
      </c>
    </row>
    <row r="575" spans="1:8">
      <c r="A575" s="14">
        <v>570</v>
      </c>
      <c r="B575" s="9">
        <v>45828</v>
      </c>
      <c r="C575" s="10" t="s">
        <v>113</v>
      </c>
      <c r="D575" s="10" t="s">
        <v>10</v>
      </c>
      <c r="E575" s="11" t="s">
        <v>24</v>
      </c>
      <c r="F575" s="5">
        <v>3183.19</v>
      </c>
      <c r="G575" s="13" t="s">
        <v>114</v>
      </c>
      <c r="H575" s="12">
        <f t="shared" si="8"/>
        <v>-3183.19</v>
      </c>
    </row>
    <row r="576" spans="1:8">
      <c r="A576" s="14">
        <v>571</v>
      </c>
      <c r="B576" s="9">
        <v>45828</v>
      </c>
      <c r="C576" s="10" t="s">
        <v>113</v>
      </c>
      <c r="D576" s="10" t="s">
        <v>9</v>
      </c>
      <c r="E576" s="11" t="s">
        <v>32</v>
      </c>
      <c r="F576" s="5">
        <v>683.04</v>
      </c>
      <c r="G576" s="13" t="s">
        <v>114</v>
      </c>
      <c r="H576" s="12">
        <f t="shared" si="8"/>
        <v>-683.04</v>
      </c>
    </row>
    <row r="577" spans="1:8">
      <c r="A577" s="14">
        <v>572</v>
      </c>
      <c r="B577" s="9">
        <v>45828</v>
      </c>
      <c r="C577" s="10" t="s">
        <v>113</v>
      </c>
      <c r="D577" s="10" t="s">
        <v>9</v>
      </c>
      <c r="E577" s="11" t="s">
        <v>27</v>
      </c>
      <c r="F577" s="5">
        <v>2488.83</v>
      </c>
      <c r="G577" s="13" t="s">
        <v>114</v>
      </c>
      <c r="H577" s="12">
        <f t="shared" si="8"/>
        <v>-2488.83</v>
      </c>
    </row>
    <row r="578" spans="1:8">
      <c r="A578" s="14">
        <v>573</v>
      </c>
      <c r="B578" s="9">
        <v>45828</v>
      </c>
      <c r="C578" s="10" t="s">
        <v>113</v>
      </c>
      <c r="D578" s="10" t="s">
        <v>10</v>
      </c>
      <c r="E578" s="11" t="s">
        <v>47</v>
      </c>
      <c r="F578" s="5">
        <v>10047.73</v>
      </c>
      <c r="G578" s="13" t="s">
        <v>114</v>
      </c>
      <c r="H578" s="12">
        <f t="shared" si="8"/>
        <v>-10047.73</v>
      </c>
    </row>
    <row r="579" spans="1:8">
      <c r="A579" s="14">
        <v>574</v>
      </c>
      <c r="B579" s="9">
        <v>45829</v>
      </c>
      <c r="C579" s="10" t="s">
        <v>113</v>
      </c>
      <c r="D579" s="10" t="s">
        <v>10</v>
      </c>
      <c r="E579" s="11" t="s">
        <v>35</v>
      </c>
      <c r="F579" s="5">
        <v>9955.2000000000007</v>
      </c>
      <c r="G579" s="13" t="s">
        <v>114</v>
      </c>
      <c r="H579" s="12">
        <f t="shared" si="8"/>
        <v>-9955.2000000000007</v>
      </c>
    </row>
    <row r="580" spans="1:8">
      <c r="A580" s="14">
        <v>575</v>
      </c>
      <c r="B580" s="9">
        <v>45829</v>
      </c>
      <c r="C580" s="10" t="s">
        <v>113</v>
      </c>
      <c r="D580" s="10" t="s">
        <v>15</v>
      </c>
      <c r="E580" s="11" t="s">
        <v>8</v>
      </c>
      <c r="F580" s="5">
        <v>6059.33</v>
      </c>
      <c r="G580" s="13" t="s">
        <v>114</v>
      </c>
      <c r="H580" s="12">
        <f t="shared" si="8"/>
        <v>-6059.33</v>
      </c>
    </row>
    <row r="581" spans="1:8">
      <c r="A581" s="14">
        <v>576</v>
      </c>
      <c r="B581" s="9">
        <v>45829</v>
      </c>
      <c r="C581" s="10" t="s">
        <v>113</v>
      </c>
      <c r="D581" s="10" t="s">
        <v>15</v>
      </c>
      <c r="E581" s="11" t="s">
        <v>37</v>
      </c>
      <c r="F581" s="5">
        <v>819.41</v>
      </c>
      <c r="G581" s="13" t="s">
        <v>114</v>
      </c>
      <c r="H581" s="12">
        <f t="shared" ref="H581:H644" si="9">IF(C581="Despesa", F581*-1, F581)</f>
        <v>-819.41</v>
      </c>
    </row>
    <row r="582" spans="1:8">
      <c r="A582" s="14">
        <v>577</v>
      </c>
      <c r="B582" s="9">
        <v>45830</v>
      </c>
      <c r="C582" s="10" t="s">
        <v>113</v>
      </c>
      <c r="D582" s="10" t="s">
        <v>10</v>
      </c>
      <c r="E582" s="11" t="s">
        <v>59</v>
      </c>
      <c r="F582" s="5">
        <v>2025.76</v>
      </c>
      <c r="G582" s="13" t="s">
        <v>114</v>
      </c>
      <c r="H582" s="12">
        <f t="shared" si="9"/>
        <v>-2025.76</v>
      </c>
    </row>
    <row r="583" spans="1:8">
      <c r="A583" s="14">
        <v>578</v>
      </c>
      <c r="B583" s="9">
        <v>45830</v>
      </c>
      <c r="C583" s="10" t="s">
        <v>113</v>
      </c>
      <c r="D583" s="10" t="s">
        <v>15</v>
      </c>
      <c r="E583" s="11" t="s">
        <v>26</v>
      </c>
      <c r="F583" s="5">
        <v>6371.14</v>
      </c>
      <c r="G583" s="13" t="s">
        <v>114</v>
      </c>
      <c r="H583" s="12">
        <f t="shared" si="9"/>
        <v>-6371.14</v>
      </c>
    </row>
    <row r="584" spans="1:8">
      <c r="A584" s="14">
        <v>579</v>
      </c>
      <c r="B584" s="9">
        <v>45830</v>
      </c>
      <c r="C584" s="10" t="s">
        <v>113</v>
      </c>
      <c r="D584" s="10" t="s">
        <v>14</v>
      </c>
      <c r="E584" s="11" t="s">
        <v>23</v>
      </c>
      <c r="F584" s="5">
        <v>7004.32</v>
      </c>
      <c r="G584" s="13" t="s">
        <v>114</v>
      </c>
      <c r="H584" s="12">
        <f t="shared" si="9"/>
        <v>-7004.32</v>
      </c>
    </row>
    <row r="585" spans="1:8">
      <c r="A585" s="14">
        <v>580</v>
      </c>
      <c r="B585" s="9">
        <v>45831</v>
      </c>
      <c r="C585" s="10" t="s">
        <v>113</v>
      </c>
      <c r="D585" s="10" t="s">
        <v>14</v>
      </c>
      <c r="E585" s="11" t="s">
        <v>34</v>
      </c>
      <c r="F585" s="5">
        <v>4155.7</v>
      </c>
      <c r="G585" s="13" t="s">
        <v>114</v>
      </c>
      <c r="H585" s="12">
        <f t="shared" si="9"/>
        <v>-4155.7</v>
      </c>
    </row>
    <row r="586" spans="1:8">
      <c r="A586" s="14">
        <v>581</v>
      </c>
      <c r="B586" s="9">
        <v>45831</v>
      </c>
      <c r="C586" s="10" t="s">
        <v>113</v>
      </c>
      <c r="D586" s="10" t="s">
        <v>16</v>
      </c>
      <c r="E586" s="11" t="s">
        <v>73</v>
      </c>
      <c r="F586" s="5">
        <v>1614.77</v>
      </c>
      <c r="G586" s="13" t="s">
        <v>114</v>
      </c>
      <c r="H586" s="12">
        <f t="shared" si="9"/>
        <v>-1614.77</v>
      </c>
    </row>
    <row r="587" spans="1:8">
      <c r="A587" s="14">
        <v>582</v>
      </c>
      <c r="B587" s="9">
        <v>45832</v>
      </c>
      <c r="C587" s="10" t="s">
        <v>113</v>
      </c>
      <c r="D587" s="10" t="s">
        <v>17</v>
      </c>
      <c r="E587" s="11" t="s">
        <v>25</v>
      </c>
      <c r="F587" s="5">
        <v>4386.47</v>
      </c>
      <c r="G587" s="13" t="s">
        <v>114</v>
      </c>
      <c r="H587" s="12">
        <f t="shared" si="9"/>
        <v>-4386.47</v>
      </c>
    </row>
    <row r="588" spans="1:8">
      <c r="A588" s="14">
        <v>583</v>
      </c>
      <c r="B588" s="9">
        <v>45832</v>
      </c>
      <c r="C588" s="10" t="s">
        <v>113</v>
      </c>
      <c r="D588" s="10" t="s">
        <v>16</v>
      </c>
      <c r="E588" s="11" t="s">
        <v>33</v>
      </c>
      <c r="F588" s="5">
        <v>870.49</v>
      </c>
      <c r="G588" s="13" t="s">
        <v>114</v>
      </c>
      <c r="H588" s="12">
        <f t="shared" si="9"/>
        <v>-870.49</v>
      </c>
    </row>
    <row r="589" spans="1:8">
      <c r="A589" s="14">
        <v>584</v>
      </c>
      <c r="B589" s="9">
        <v>45832</v>
      </c>
      <c r="C589" s="10" t="s">
        <v>113</v>
      </c>
      <c r="D589" s="10" t="s">
        <v>16</v>
      </c>
      <c r="E589" s="11" t="s">
        <v>22</v>
      </c>
      <c r="F589" s="5">
        <v>2703.9</v>
      </c>
      <c r="G589" s="13" t="s">
        <v>114</v>
      </c>
      <c r="H589" s="12">
        <f t="shared" si="9"/>
        <v>-2703.9</v>
      </c>
    </row>
    <row r="590" spans="1:8">
      <c r="A590" s="14">
        <v>585</v>
      </c>
      <c r="B590" s="9">
        <v>45832</v>
      </c>
      <c r="C590" s="10" t="s">
        <v>113</v>
      </c>
      <c r="D590" s="10" t="s">
        <v>9</v>
      </c>
      <c r="E590" s="11" t="s">
        <v>67</v>
      </c>
      <c r="F590" s="5">
        <v>1709.52</v>
      </c>
      <c r="G590" s="13" t="s">
        <v>114</v>
      </c>
      <c r="H590" s="12">
        <f t="shared" si="9"/>
        <v>-1709.52</v>
      </c>
    </row>
    <row r="591" spans="1:8">
      <c r="A591" s="14">
        <v>586</v>
      </c>
      <c r="B591" s="9">
        <v>45833</v>
      </c>
      <c r="C591" s="10" t="s">
        <v>113</v>
      </c>
      <c r="D591" s="10" t="s">
        <v>10</v>
      </c>
      <c r="E591" s="11" t="s">
        <v>19</v>
      </c>
      <c r="F591" s="5">
        <v>12867.67</v>
      </c>
      <c r="G591" s="13" t="s">
        <v>114</v>
      </c>
      <c r="H591" s="12">
        <f t="shared" si="9"/>
        <v>-12867.67</v>
      </c>
    </row>
    <row r="592" spans="1:8">
      <c r="A592" s="14">
        <v>587</v>
      </c>
      <c r="B592" s="9">
        <v>45833</v>
      </c>
      <c r="C592" s="10" t="s">
        <v>113</v>
      </c>
      <c r="D592" s="10" t="s">
        <v>16</v>
      </c>
      <c r="E592" s="11" t="s">
        <v>22</v>
      </c>
      <c r="F592" s="5">
        <v>3678.34</v>
      </c>
      <c r="G592" s="13" t="s">
        <v>114</v>
      </c>
      <c r="H592" s="12">
        <f t="shared" si="9"/>
        <v>-3678.34</v>
      </c>
    </row>
    <row r="593" spans="1:8">
      <c r="A593" s="14">
        <v>588</v>
      </c>
      <c r="B593" s="9">
        <v>45833</v>
      </c>
      <c r="C593" s="10" t="s">
        <v>113</v>
      </c>
      <c r="D593" s="10" t="s">
        <v>17</v>
      </c>
      <c r="E593" s="11" t="s">
        <v>20</v>
      </c>
      <c r="F593" s="5">
        <v>192.04</v>
      </c>
      <c r="G593" s="13" t="s">
        <v>114</v>
      </c>
      <c r="H593" s="12">
        <f t="shared" si="9"/>
        <v>-192.04</v>
      </c>
    </row>
    <row r="594" spans="1:8">
      <c r="A594" s="14">
        <v>589</v>
      </c>
      <c r="B594" s="9">
        <v>45833</v>
      </c>
      <c r="C594" s="10" t="s">
        <v>113</v>
      </c>
      <c r="D594" s="10" t="s">
        <v>15</v>
      </c>
      <c r="E594" s="11" t="s">
        <v>55</v>
      </c>
      <c r="F594" s="5">
        <v>1838.89</v>
      </c>
      <c r="G594" s="13" t="s">
        <v>114</v>
      </c>
      <c r="H594" s="12">
        <f t="shared" si="9"/>
        <v>-1838.89</v>
      </c>
    </row>
    <row r="595" spans="1:8">
      <c r="A595" s="14">
        <v>590</v>
      </c>
      <c r="B595" s="9">
        <v>45834</v>
      </c>
      <c r="C595" s="10" t="s">
        <v>113</v>
      </c>
      <c r="D595" s="10" t="s">
        <v>10</v>
      </c>
      <c r="E595" s="11" t="s">
        <v>70</v>
      </c>
      <c r="F595" s="5">
        <v>4627.63</v>
      </c>
      <c r="G595" s="13" t="s">
        <v>114</v>
      </c>
      <c r="H595" s="12">
        <f t="shared" si="9"/>
        <v>-4627.63</v>
      </c>
    </row>
    <row r="596" spans="1:8">
      <c r="A596" s="14">
        <v>591</v>
      </c>
      <c r="B596" s="9">
        <v>45834</v>
      </c>
      <c r="C596" s="10" t="s">
        <v>113</v>
      </c>
      <c r="D596" s="10" t="s">
        <v>14</v>
      </c>
      <c r="E596" s="11" t="s">
        <v>46</v>
      </c>
      <c r="F596" s="5">
        <v>719.83</v>
      </c>
      <c r="G596" s="13" t="s">
        <v>114</v>
      </c>
      <c r="H596" s="12">
        <f t="shared" si="9"/>
        <v>-719.83</v>
      </c>
    </row>
    <row r="597" spans="1:8">
      <c r="A597" s="14">
        <v>592</v>
      </c>
      <c r="B597" s="9">
        <v>45834</v>
      </c>
      <c r="C597" s="10" t="s">
        <v>113</v>
      </c>
      <c r="D597" s="10" t="s">
        <v>16</v>
      </c>
      <c r="E597" s="11" t="s">
        <v>57</v>
      </c>
      <c r="F597" s="5">
        <v>2690.24</v>
      </c>
      <c r="G597" s="13" t="s">
        <v>114</v>
      </c>
      <c r="H597" s="12">
        <f t="shared" si="9"/>
        <v>-2690.24</v>
      </c>
    </row>
    <row r="598" spans="1:8">
      <c r="A598" s="14">
        <v>593</v>
      </c>
      <c r="B598" s="9">
        <v>45834</v>
      </c>
      <c r="C598" s="10" t="s">
        <v>113</v>
      </c>
      <c r="D598" s="10" t="s">
        <v>9</v>
      </c>
      <c r="E598" s="11" t="s">
        <v>44</v>
      </c>
      <c r="F598" s="5">
        <v>668.93</v>
      </c>
      <c r="G598" s="13" t="s">
        <v>114</v>
      </c>
      <c r="H598" s="12">
        <f t="shared" si="9"/>
        <v>-668.93</v>
      </c>
    </row>
    <row r="599" spans="1:8">
      <c r="A599" s="14">
        <v>594</v>
      </c>
      <c r="B599" s="9">
        <v>45834</v>
      </c>
      <c r="C599" s="10" t="s">
        <v>113</v>
      </c>
      <c r="D599" s="10" t="s">
        <v>10</v>
      </c>
      <c r="E599" s="11" t="s">
        <v>53</v>
      </c>
      <c r="F599" s="5">
        <v>3818.02</v>
      </c>
      <c r="G599" s="13" t="s">
        <v>114</v>
      </c>
      <c r="H599" s="12">
        <f t="shared" si="9"/>
        <v>-3818.02</v>
      </c>
    </row>
    <row r="600" spans="1:8">
      <c r="A600" s="14">
        <v>595</v>
      </c>
      <c r="B600" s="9">
        <v>45835</v>
      </c>
      <c r="C600" s="10" t="s">
        <v>113</v>
      </c>
      <c r="D600" s="10" t="s">
        <v>14</v>
      </c>
      <c r="E600" s="11" t="s">
        <v>69</v>
      </c>
      <c r="F600" s="5">
        <v>4746.75</v>
      </c>
      <c r="G600" s="13" t="s">
        <v>114</v>
      </c>
      <c r="H600" s="12">
        <f t="shared" si="9"/>
        <v>-4746.75</v>
      </c>
    </row>
    <row r="601" spans="1:8">
      <c r="A601" s="14">
        <v>596</v>
      </c>
      <c r="B601" s="9">
        <v>45835</v>
      </c>
      <c r="C601" s="10" t="s">
        <v>113</v>
      </c>
      <c r="D601" s="10" t="s">
        <v>17</v>
      </c>
      <c r="E601" s="11" t="s">
        <v>42</v>
      </c>
      <c r="F601" s="5">
        <v>332.71</v>
      </c>
      <c r="G601" s="13" t="s">
        <v>114</v>
      </c>
      <c r="H601" s="12">
        <f t="shared" si="9"/>
        <v>-332.71</v>
      </c>
    </row>
    <row r="602" spans="1:8">
      <c r="A602" s="14">
        <v>597</v>
      </c>
      <c r="B602" s="9">
        <v>45835</v>
      </c>
      <c r="C602" s="10" t="s">
        <v>113</v>
      </c>
      <c r="D602" s="10" t="s">
        <v>15</v>
      </c>
      <c r="E602" s="11" t="s">
        <v>66</v>
      </c>
      <c r="F602" s="5">
        <v>18525.439999999999</v>
      </c>
      <c r="G602" s="13" t="s">
        <v>114</v>
      </c>
      <c r="H602" s="12">
        <f t="shared" si="9"/>
        <v>-18525.439999999999</v>
      </c>
    </row>
    <row r="603" spans="1:8">
      <c r="A603" s="14">
        <v>598</v>
      </c>
      <c r="B603" s="9">
        <v>45835</v>
      </c>
      <c r="C603" s="10" t="s">
        <v>113</v>
      </c>
      <c r="D603" s="10" t="s">
        <v>14</v>
      </c>
      <c r="E603" s="11" t="s">
        <v>69</v>
      </c>
      <c r="F603" s="5">
        <v>1196.57</v>
      </c>
      <c r="G603" s="13" t="s">
        <v>114</v>
      </c>
      <c r="H603" s="12">
        <f t="shared" si="9"/>
        <v>-1196.57</v>
      </c>
    </row>
    <row r="604" spans="1:8">
      <c r="A604" s="14">
        <v>599</v>
      </c>
      <c r="B604" s="9">
        <v>45836</v>
      </c>
      <c r="C604" s="10" t="s">
        <v>113</v>
      </c>
      <c r="D604" s="10" t="s">
        <v>17</v>
      </c>
      <c r="E604" s="11" t="s">
        <v>48</v>
      </c>
      <c r="F604" s="5">
        <v>2690.96</v>
      </c>
      <c r="G604" s="13" t="s">
        <v>114</v>
      </c>
      <c r="H604" s="12">
        <f t="shared" si="9"/>
        <v>-2690.96</v>
      </c>
    </row>
    <row r="605" spans="1:8">
      <c r="A605" s="14">
        <v>600</v>
      </c>
      <c r="B605" s="9">
        <v>45837</v>
      </c>
      <c r="C605" s="10" t="s">
        <v>113</v>
      </c>
      <c r="D605" s="10" t="s">
        <v>16</v>
      </c>
      <c r="E605" s="11" t="s">
        <v>51</v>
      </c>
      <c r="F605" s="5">
        <v>548.21</v>
      </c>
      <c r="G605" s="13" t="s">
        <v>114</v>
      </c>
      <c r="H605" s="12">
        <f t="shared" si="9"/>
        <v>-548.21</v>
      </c>
    </row>
    <row r="606" spans="1:8">
      <c r="A606" s="14">
        <v>601</v>
      </c>
      <c r="B606" s="9">
        <v>45837</v>
      </c>
      <c r="C606" s="10" t="s">
        <v>113</v>
      </c>
      <c r="D606" s="10" t="s">
        <v>15</v>
      </c>
      <c r="E606" s="11" t="s">
        <v>66</v>
      </c>
      <c r="F606" s="5">
        <v>13340.96</v>
      </c>
      <c r="G606" s="13" t="s">
        <v>114</v>
      </c>
      <c r="H606" s="12">
        <f t="shared" si="9"/>
        <v>-13340.96</v>
      </c>
    </row>
    <row r="607" spans="1:8">
      <c r="A607" s="14">
        <v>602</v>
      </c>
      <c r="B607" s="9">
        <v>45838</v>
      </c>
      <c r="C607" s="10" t="s">
        <v>113</v>
      </c>
      <c r="D607" s="10" t="s">
        <v>14</v>
      </c>
      <c r="E607" s="11" t="s">
        <v>74</v>
      </c>
      <c r="F607" s="5">
        <v>987.19</v>
      </c>
      <c r="G607" s="13" t="s">
        <v>114</v>
      </c>
      <c r="H607" s="12">
        <f t="shared" si="9"/>
        <v>-987.19</v>
      </c>
    </row>
    <row r="608" spans="1:8">
      <c r="A608" s="14">
        <v>603</v>
      </c>
      <c r="B608" s="9">
        <v>45838</v>
      </c>
      <c r="C608" s="10" t="s">
        <v>113</v>
      </c>
      <c r="D608" s="10" t="s">
        <v>15</v>
      </c>
      <c r="E608" s="11" t="s">
        <v>55</v>
      </c>
      <c r="F608" s="5">
        <v>1307.56</v>
      </c>
      <c r="G608" s="13" t="s">
        <v>114</v>
      </c>
      <c r="H608" s="12">
        <f t="shared" si="9"/>
        <v>-1307.56</v>
      </c>
    </row>
    <row r="609" spans="1:8">
      <c r="A609" s="14">
        <v>604</v>
      </c>
      <c r="B609" s="9">
        <v>45838</v>
      </c>
      <c r="C609" s="10" t="s">
        <v>113</v>
      </c>
      <c r="D609" s="10" t="s">
        <v>17</v>
      </c>
      <c r="E609" s="11" t="s">
        <v>54</v>
      </c>
      <c r="F609" s="5">
        <v>3106.58</v>
      </c>
      <c r="G609" s="13" t="s">
        <v>114</v>
      </c>
      <c r="H609" s="12">
        <f t="shared" si="9"/>
        <v>-3106.58</v>
      </c>
    </row>
    <row r="610" spans="1:8">
      <c r="A610" s="14">
        <v>605</v>
      </c>
      <c r="B610" s="9">
        <v>45839</v>
      </c>
      <c r="C610" s="10" t="s">
        <v>113</v>
      </c>
      <c r="D610" s="10" t="s">
        <v>15</v>
      </c>
      <c r="E610" s="11" t="s">
        <v>66</v>
      </c>
      <c r="F610" s="5">
        <v>5976.63</v>
      </c>
      <c r="G610" s="13" t="s">
        <v>114</v>
      </c>
      <c r="H610" s="12">
        <f t="shared" si="9"/>
        <v>-5976.63</v>
      </c>
    </row>
    <row r="611" spans="1:8">
      <c r="A611" s="14">
        <v>606</v>
      </c>
      <c r="B611" s="9">
        <v>45839</v>
      </c>
      <c r="C611" s="10" t="s">
        <v>113</v>
      </c>
      <c r="D611" s="10" t="s">
        <v>9</v>
      </c>
      <c r="E611" s="11" t="s">
        <v>62</v>
      </c>
      <c r="F611" s="5">
        <v>2438.79</v>
      </c>
      <c r="G611" s="13" t="s">
        <v>114</v>
      </c>
      <c r="H611" s="12">
        <f t="shared" si="9"/>
        <v>-2438.79</v>
      </c>
    </row>
    <row r="612" spans="1:8">
      <c r="A612" s="14">
        <v>607</v>
      </c>
      <c r="B612" s="9">
        <v>45839</v>
      </c>
      <c r="C612" s="10" t="s">
        <v>113</v>
      </c>
      <c r="D612" s="10" t="s">
        <v>9</v>
      </c>
      <c r="E612" s="11" t="s">
        <v>67</v>
      </c>
      <c r="F612" s="5">
        <v>2323.42</v>
      </c>
      <c r="G612" s="13" t="s">
        <v>114</v>
      </c>
      <c r="H612" s="12">
        <f t="shared" si="9"/>
        <v>-2323.42</v>
      </c>
    </row>
    <row r="613" spans="1:8">
      <c r="A613" s="14">
        <v>608</v>
      </c>
      <c r="B613" s="9">
        <v>45839</v>
      </c>
      <c r="C613" s="10" t="s">
        <v>113</v>
      </c>
      <c r="D613" s="10" t="s">
        <v>17</v>
      </c>
      <c r="E613" s="11" t="s">
        <v>36</v>
      </c>
      <c r="F613" s="5">
        <v>957.83</v>
      </c>
      <c r="G613" s="13" t="s">
        <v>114</v>
      </c>
      <c r="H613" s="12">
        <f t="shared" si="9"/>
        <v>-957.83</v>
      </c>
    </row>
    <row r="614" spans="1:8">
      <c r="A614" s="14">
        <v>609</v>
      </c>
      <c r="B614" s="9">
        <v>45839</v>
      </c>
      <c r="C614" s="10" t="s">
        <v>113</v>
      </c>
      <c r="D614" s="10" t="s">
        <v>10</v>
      </c>
      <c r="E614" s="11" t="s">
        <v>19</v>
      </c>
      <c r="F614" s="5">
        <v>14430.83</v>
      </c>
      <c r="G614" s="13" t="s">
        <v>114</v>
      </c>
      <c r="H614" s="12">
        <f t="shared" si="9"/>
        <v>-14430.83</v>
      </c>
    </row>
    <row r="615" spans="1:8">
      <c r="A615" s="14">
        <v>610</v>
      </c>
      <c r="B615" s="9">
        <v>45839</v>
      </c>
      <c r="C615" s="10" t="s">
        <v>113</v>
      </c>
      <c r="D615" s="10" t="s">
        <v>9</v>
      </c>
      <c r="E615" s="11" t="s">
        <v>27</v>
      </c>
      <c r="F615" s="5">
        <v>975.6</v>
      </c>
      <c r="G615" s="13" t="s">
        <v>114</v>
      </c>
      <c r="H615" s="12">
        <f t="shared" si="9"/>
        <v>-975.6</v>
      </c>
    </row>
    <row r="616" spans="1:8">
      <c r="A616" s="14">
        <v>611</v>
      </c>
      <c r="B616" s="9">
        <v>45840</v>
      </c>
      <c r="C616" s="10" t="s">
        <v>113</v>
      </c>
      <c r="D616" s="10" t="s">
        <v>15</v>
      </c>
      <c r="E616" s="11" t="s">
        <v>7</v>
      </c>
      <c r="F616" s="5">
        <v>1095.51</v>
      </c>
      <c r="G616" s="13" t="s">
        <v>114</v>
      </c>
      <c r="H616" s="12">
        <f t="shared" si="9"/>
        <v>-1095.51</v>
      </c>
    </row>
    <row r="617" spans="1:8">
      <c r="A617" s="14">
        <v>612</v>
      </c>
      <c r="B617" s="9">
        <v>45840</v>
      </c>
      <c r="C617" s="10" t="s">
        <v>113</v>
      </c>
      <c r="D617" s="10" t="s">
        <v>9</v>
      </c>
      <c r="E617" s="11" t="s">
        <v>56</v>
      </c>
      <c r="F617" s="5">
        <v>5769.11</v>
      </c>
      <c r="G617" s="13" t="s">
        <v>114</v>
      </c>
      <c r="H617" s="12">
        <f t="shared" si="9"/>
        <v>-5769.11</v>
      </c>
    </row>
    <row r="618" spans="1:8">
      <c r="A618" s="14">
        <v>613</v>
      </c>
      <c r="B618" s="9">
        <v>45840</v>
      </c>
      <c r="C618" s="10" t="s">
        <v>113</v>
      </c>
      <c r="D618" s="10" t="s">
        <v>9</v>
      </c>
      <c r="E618" s="11" t="s">
        <v>21</v>
      </c>
      <c r="F618" s="5">
        <v>3093.94</v>
      </c>
      <c r="G618" s="13" t="s">
        <v>114</v>
      </c>
      <c r="H618" s="12">
        <f t="shared" si="9"/>
        <v>-3093.94</v>
      </c>
    </row>
    <row r="619" spans="1:8">
      <c r="A619" s="14">
        <v>614</v>
      </c>
      <c r="B619" s="9">
        <v>45840</v>
      </c>
      <c r="C619" s="10" t="s">
        <v>113</v>
      </c>
      <c r="D619" s="10" t="s">
        <v>15</v>
      </c>
      <c r="E619" s="11" t="s">
        <v>7</v>
      </c>
      <c r="F619" s="5">
        <v>770.74</v>
      </c>
      <c r="G619" s="13" t="s">
        <v>114</v>
      </c>
      <c r="H619" s="12">
        <f t="shared" si="9"/>
        <v>-770.74</v>
      </c>
    </row>
    <row r="620" spans="1:8">
      <c r="A620" s="14">
        <v>615</v>
      </c>
      <c r="B620" s="9">
        <v>45840</v>
      </c>
      <c r="C620" s="10" t="s">
        <v>113</v>
      </c>
      <c r="D620" s="10" t="s">
        <v>14</v>
      </c>
      <c r="E620" s="11" t="s">
        <v>23</v>
      </c>
      <c r="F620" s="5">
        <v>5637.75</v>
      </c>
      <c r="G620" s="13" t="s">
        <v>114</v>
      </c>
      <c r="H620" s="12">
        <f t="shared" si="9"/>
        <v>-5637.75</v>
      </c>
    </row>
    <row r="621" spans="1:8">
      <c r="A621" s="14">
        <v>616</v>
      </c>
      <c r="B621" s="9">
        <v>45840</v>
      </c>
      <c r="C621" s="10" t="s">
        <v>113</v>
      </c>
      <c r="D621" s="10" t="s">
        <v>16</v>
      </c>
      <c r="E621" s="11" t="s">
        <v>68</v>
      </c>
      <c r="F621" s="5">
        <v>4574.13</v>
      </c>
      <c r="G621" s="13" t="s">
        <v>114</v>
      </c>
      <c r="H621" s="12">
        <f t="shared" si="9"/>
        <v>-4574.13</v>
      </c>
    </row>
    <row r="622" spans="1:8">
      <c r="A622" s="14">
        <v>617</v>
      </c>
      <c r="B622" s="9">
        <v>45842</v>
      </c>
      <c r="C622" s="10" t="s">
        <v>113</v>
      </c>
      <c r="D622" s="10" t="s">
        <v>9</v>
      </c>
      <c r="E622" s="11" t="s">
        <v>72</v>
      </c>
      <c r="F622" s="5">
        <v>2670.13</v>
      </c>
      <c r="G622" s="13" t="s">
        <v>114</v>
      </c>
      <c r="H622" s="12">
        <f t="shared" si="9"/>
        <v>-2670.13</v>
      </c>
    </row>
    <row r="623" spans="1:8">
      <c r="A623" s="14">
        <v>618</v>
      </c>
      <c r="B623" s="9">
        <v>45842</v>
      </c>
      <c r="C623" s="10" t="s">
        <v>113</v>
      </c>
      <c r="D623" s="10" t="s">
        <v>15</v>
      </c>
      <c r="E623" s="11" t="s">
        <v>55</v>
      </c>
      <c r="F623" s="5">
        <v>1492.51</v>
      </c>
      <c r="G623" s="13" t="s">
        <v>114</v>
      </c>
      <c r="H623" s="12">
        <f t="shared" si="9"/>
        <v>-1492.51</v>
      </c>
    </row>
    <row r="624" spans="1:8">
      <c r="A624" s="14">
        <v>619</v>
      </c>
      <c r="B624" s="9">
        <v>45842</v>
      </c>
      <c r="C624" s="10" t="s">
        <v>113</v>
      </c>
      <c r="D624" s="10" t="s">
        <v>15</v>
      </c>
      <c r="E624" s="11" t="s">
        <v>61</v>
      </c>
      <c r="F624" s="5">
        <v>2048.4499999999998</v>
      </c>
      <c r="G624" s="13" t="s">
        <v>114</v>
      </c>
      <c r="H624" s="12">
        <f t="shared" si="9"/>
        <v>-2048.4499999999998</v>
      </c>
    </row>
    <row r="625" spans="1:8">
      <c r="A625" s="14">
        <v>620</v>
      </c>
      <c r="B625" s="9">
        <v>45843</v>
      </c>
      <c r="C625" s="10" t="s">
        <v>113</v>
      </c>
      <c r="D625" s="10" t="s">
        <v>10</v>
      </c>
      <c r="E625" s="11" t="s">
        <v>19</v>
      </c>
      <c r="F625" s="5">
        <v>18726.64</v>
      </c>
      <c r="G625" s="13" t="s">
        <v>114</v>
      </c>
      <c r="H625" s="12">
        <f t="shared" si="9"/>
        <v>-18726.64</v>
      </c>
    </row>
    <row r="626" spans="1:8">
      <c r="A626" s="14">
        <v>621</v>
      </c>
      <c r="B626" s="9">
        <v>45843</v>
      </c>
      <c r="C626" s="10" t="s">
        <v>113</v>
      </c>
      <c r="D626" s="10" t="s">
        <v>10</v>
      </c>
      <c r="E626" s="11" t="s">
        <v>24</v>
      </c>
      <c r="F626" s="5">
        <v>4404.1000000000004</v>
      </c>
      <c r="G626" s="13" t="s">
        <v>114</v>
      </c>
      <c r="H626" s="12">
        <f t="shared" si="9"/>
        <v>-4404.1000000000004</v>
      </c>
    </row>
    <row r="627" spans="1:8">
      <c r="A627" s="14">
        <v>622</v>
      </c>
      <c r="B627" s="9">
        <v>45844</v>
      </c>
      <c r="C627" s="10" t="s">
        <v>113</v>
      </c>
      <c r="D627" s="10" t="s">
        <v>15</v>
      </c>
      <c r="E627" s="11" t="s">
        <v>61</v>
      </c>
      <c r="F627" s="5">
        <v>475.48</v>
      </c>
      <c r="G627" s="13" t="s">
        <v>114</v>
      </c>
      <c r="H627" s="12">
        <f t="shared" si="9"/>
        <v>-475.48</v>
      </c>
    </row>
    <row r="628" spans="1:8">
      <c r="A628" s="14">
        <v>623</v>
      </c>
      <c r="B628" s="9">
        <v>45844</v>
      </c>
      <c r="C628" s="10" t="s">
        <v>113</v>
      </c>
      <c r="D628" s="10" t="s">
        <v>15</v>
      </c>
      <c r="E628" s="11" t="s">
        <v>26</v>
      </c>
      <c r="F628" s="5">
        <v>3078.3</v>
      </c>
      <c r="G628" s="13" t="s">
        <v>114</v>
      </c>
      <c r="H628" s="12">
        <f t="shared" si="9"/>
        <v>-3078.3</v>
      </c>
    </row>
    <row r="629" spans="1:8">
      <c r="A629" s="14">
        <v>624</v>
      </c>
      <c r="B629" s="9">
        <v>45845</v>
      </c>
      <c r="C629" s="10" t="s">
        <v>113</v>
      </c>
      <c r="D629" s="10" t="s">
        <v>16</v>
      </c>
      <c r="E629" s="11" t="s">
        <v>33</v>
      </c>
      <c r="F629" s="5">
        <v>1035.0999999999999</v>
      </c>
      <c r="G629" s="13" t="s">
        <v>114</v>
      </c>
      <c r="H629" s="12">
        <f t="shared" si="9"/>
        <v>-1035.0999999999999</v>
      </c>
    </row>
    <row r="630" spans="1:8">
      <c r="A630" s="14">
        <v>625</v>
      </c>
      <c r="B630" s="9">
        <v>45845</v>
      </c>
      <c r="C630" s="10" t="s">
        <v>113</v>
      </c>
      <c r="D630" s="10" t="s">
        <v>14</v>
      </c>
      <c r="E630" s="11" t="s">
        <v>40</v>
      </c>
      <c r="F630" s="5">
        <v>3499.26</v>
      </c>
      <c r="G630" s="13" t="s">
        <v>114</v>
      </c>
      <c r="H630" s="12">
        <f t="shared" si="9"/>
        <v>-3499.26</v>
      </c>
    </row>
    <row r="631" spans="1:8">
      <c r="A631" s="14">
        <v>626</v>
      </c>
      <c r="B631" s="9">
        <v>45846</v>
      </c>
      <c r="C631" s="10" t="s">
        <v>113</v>
      </c>
      <c r="D631" s="10" t="s">
        <v>15</v>
      </c>
      <c r="E631" s="11" t="s">
        <v>7</v>
      </c>
      <c r="F631" s="5">
        <v>1079.82</v>
      </c>
      <c r="G631" s="13" t="s">
        <v>114</v>
      </c>
      <c r="H631" s="12">
        <f t="shared" si="9"/>
        <v>-1079.82</v>
      </c>
    </row>
    <row r="632" spans="1:8">
      <c r="A632" s="14">
        <v>627</v>
      </c>
      <c r="B632" s="9">
        <v>45846</v>
      </c>
      <c r="C632" s="10" t="s">
        <v>113</v>
      </c>
      <c r="D632" s="10" t="s">
        <v>15</v>
      </c>
      <c r="E632" s="11" t="s">
        <v>8</v>
      </c>
      <c r="F632" s="5">
        <v>5039.4399999999996</v>
      </c>
      <c r="G632" s="13" t="s">
        <v>114</v>
      </c>
      <c r="H632" s="12">
        <f t="shared" si="9"/>
        <v>-5039.4399999999996</v>
      </c>
    </row>
    <row r="633" spans="1:8">
      <c r="A633" s="14">
        <v>628</v>
      </c>
      <c r="B633" s="9">
        <v>45846</v>
      </c>
      <c r="C633" s="10" t="s">
        <v>113</v>
      </c>
      <c r="D633" s="10" t="s">
        <v>14</v>
      </c>
      <c r="E633" s="11" t="s">
        <v>69</v>
      </c>
      <c r="F633" s="5">
        <v>6184.52</v>
      </c>
      <c r="G633" s="13" t="s">
        <v>114</v>
      </c>
      <c r="H633" s="12">
        <f t="shared" si="9"/>
        <v>-6184.52</v>
      </c>
    </row>
    <row r="634" spans="1:8">
      <c r="A634" s="14">
        <v>629</v>
      </c>
      <c r="B634" s="9">
        <v>45846</v>
      </c>
      <c r="C634" s="10" t="s">
        <v>113</v>
      </c>
      <c r="D634" s="10" t="s">
        <v>14</v>
      </c>
      <c r="E634" s="11" t="s">
        <v>74</v>
      </c>
      <c r="F634" s="5">
        <v>417.73</v>
      </c>
      <c r="G634" s="13" t="s">
        <v>114</v>
      </c>
      <c r="H634" s="12">
        <f t="shared" si="9"/>
        <v>-417.73</v>
      </c>
    </row>
    <row r="635" spans="1:8">
      <c r="A635" s="14">
        <v>630</v>
      </c>
      <c r="B635" s="9">
        <v>45846</v>
      </c>
      <c r="C635" s="10" t="s">
        <v>113</v>
      </c>
      <c r="D635" s="10" t="s">
        <v>14</v>
      </c>
      <c r="E635" s="11" t="s">
        <v>46</v>
      </c>
      <c r="F635" s="5">
        <v>1356.93</v>
      </c>
      <c r="G635" s="13" t="s">
        <v>114</v>
      </c>
      <c r="H635" s="12">
        <f t="shared" si="9"/>
        <v>-1356.93</v>
      </c>
    </row>
    <row r="636" spans="1:8">
      <c r="A636" s="14">
        <v>631</v>
      </c>
      <c r="B636" s="9">
        <v>45847</v>
      </c>
      <c r="C636" s="10" t="s">
        <v>113</v>
      </c>
      <c r="D636" s="10" t="s">
        <v>10</v>
      </c>
      <c r="E636" s="11" t="s">
        <v>19</v>
      </c>
      <c r="F636" s="5">
        <v>11246.42</v>
      </c>
      <c r="G636" s="13" t="s">
        <v>114</v>
      </c>
      <c r="H636" s="12">
        <f t="shared" si="9"/>
        <v>-11246.42</v>
      </c>
    </row>
    <row r="637" spans="1:8">
      <c r="A637" s="14">
        <v>632</v>
      </c>
      <c r="B637" s="9">
        <v>45847</v>
      </c>
      <c r="C637" s="10" t="s">
        <v>113</v>
      </c>
      <c r="D637" s="10" t="s">
        <v>16</v>
      </c>
      <c r="E637" s="11" t="s">
        <v>68</v>
      </c>
      <c r="F637" s="5">
        <v>7006.86</v>
      </c>
      <c r="G637" s="13" t="s">
        <v>114</v>
      </c>
      <c r="H637" s="12">
        <f t="shared" si="9"/>
        <v>-7006.86</v>
      </c>
    </row>
    <row r="638" spans="1:8">
      <c r="A638" s="14">
        <v>633</v>
      </c>
      <c r="B638" s="9">
        <v>45847</v>
      </c>
      <c r="C638" s="10" t="s">
        <v>113</v>
      </c>
      <c r="D638" s="10" t="s">
        <v>14</v>
      </c>
      <c r="E638" s="11" t="s">
        <v>40</v>
      </c>
      <c r="F638" s="5">
        <v>5773.41</v>
      </c>
      <c r="G638" s="13" t="s">
        <v>114</v>
      </c>
      <c r="H638" s="12">
        <f t="shared" si="9"/>
        <v>-5773.41</v>
      </c>
    </row>
    <row r="639" spans="1:8">
      <c r="A639" s="14">
        <v>634</v>
      </c>
      <c r="B639" s="9">
        <v>45847</v>
      </c>
      <c r="C639" s="10" t="s">
        <v>113</v>
      </c>
      <c r="D639" s="10" t="s">
        <v>10</v>
      </c>
      <c r="E639" s="11" t="s">
        <v>24</v>
      </c>
      <c r="F639" s="5">
        <v>7218.98</v>
      </c>
      <c r="G639" s="13" t="s">
        <v>114</v>
      </c>
      <c r="H639" s="12">
        <f t="shared" si="9"/>
        <v>-7218.98</v>
      </c>
    </row>
    <row r="640" spans="1:8">
      <c r="A640" s="14">
        <v>635</v>
      </c>
      <c r="B640" s="9">
        <v>45847</v>
      </c>
      <c r="C640" s="10" t="s">
        <v>113</v>
      </c>
      <c r="D640" s="10" t="s">
        <v>10</v>
      </c>
      <c r="E640" s="11" t="s">
        <v>65</v>
      </c>
      <c r="F640" s="5">
        <v>3346.29</v>
      </c>
      <c r="G640" s="13" t="s">
        <v>114</v>
      </c>
      <c r="H640" s="12">
        <f t="shared" si="9"/>
        <v>-3346.29</v>
      </c>
    </row>
    <row r="641" spans="1:8">
      <c r="A641" s="14">
        <v>636</v>
      </c>
      <c r="B641" s="9">
        <v>45848</v>
      </c>
      <c r="C641" s="10" t="s">
        <v>113</v>
      </c>
      <c r="D641" s="10" t="s">
        <v>17</v>
      </c>
      <c r="E641" s="11" t="s">
        <v>42</v>
      </c>
      <c r="F641" s="5">
        <v>619.92999999999995</v>
      </c>
      <c r="G641" s="13" t="s">
        <v>114</v>
      </c>
      <c r="H641" s="12">
        <f t="shared" si="9"/>
        <v>-619.92999999999995</v>
      </c>
    </row>
    <row r="642" spans="1:8">
      <c r="A642" s="14">
        <v>637</v>
      </c>
      <c r="B642" s="9">
        <v>45848</v>
      </c>
      <c r="C642" s="10" t="s">
        <v>113</v>
      </c>
      <c r="D642" s="10" t="s">
        <v>9</v>
      </c>
      <c r="E642" s="11" t="s">
        <v>27</v>
      </c>
      <c r="F642" s="5">
        <v>1570.25</v>
      </c>
      <c r="G642" s="13" t="s">
        <v>114</v>
      </c>
      <c r="H642" s="12">
        <f t="shared" si="9"/>
        <v>-1570.25</v>
      </c>
    </row>
    <row r="643" spans="1:8">
      <c r="A643" s="14">
        <v>638</v>
      </c>
      <c r="B643" s="9">
        <v>45848</v>
      </c>
      <c r="C643" s="10" t="s">
        <v>113</v>
      </c>
      <c r="D643" s="10" t="s">
        <v>15</v>
      </c>
      <c r="E643" s="11" t="s">
        <v>71</v>
      </c>
      <c r="F643" s="5">
        <v>1953.21</v>
      </c>
      <c r="G643" s="13" t="s">
        <v>114</v>
      </c>
      <c r="H643" s="12">
        <f t="shared" si="9"/>
        <v>-1953.21</v>
      </c>
    </row>
    <row r="644" spans="1:8">
      <c r="A644" s="14">
        <v>639</v>
      </c>
      <c r="B644" s="9">
        <v>45848</v>
      </c>
      <c r="C644" s="10" t="s">
        <v>113</v>
      </c>
      <c r="D644" s="10" t="s">
        <v>14</v>
      </c>
      <c r="E644" s="11" t="s">
        <v>46</v>
      </c>
      <c r="F644" s="5">
        <v>1355.69</v>
      </c>
      <c r="G644" s="13" t="s">
        <v>114</v>
      </c>
      <c r="H644" s="12">
        <f t="shared" si="9"/>
        <v>-1355.69</v>
      </c>
    </row>
    <row r="645" spans="1:8">
      <c r="A645" s="14">
        <v>640</v>
      </c>
      <c r="B645" s="9">
        <v>45849</v>
      </c>
      <c r="C645" s="10" t="s">
        <v>113</v>
      </c>
      <c r="D645" s="10" t="s">
        <v>15</v>
      </c>
      <c r="E645" s="11" t="s">
        <v>8</v>
      </c>
      <c r="F645" s="5">
        <v>9348.25</v>
      </c>
      <c r="G645" s="13" t="s">
        <v>114</v>
      </c>
      <c r="H645" s="12">
        <f t="shared" ref="H645:H708" si="10">IF(C645="Despesa", F645*-1, F645)</f>
        <v>-9348.25</v>
      </c>
    </row>
    <row r="646" spans="1:8">
      <c r="A646" s="14">
        <v>641</v>
      </c>
      <c r="B646" s="9">
        <v>45849</v>
      </c>
      <c r="C646" s="10" t="s">
        <v>113</v>
      </c>
      <c r="D646" s="10" t="s">
        <v>16</v>
      </c>
      <c r="E646" s="11" t="s">
        <v>22</v>
      </c>
      <c r="F646" s="5">
        <v>4866.1899999999996</v>
      </c>
      <c r="G646" s="13" t="s">
        <v>114</v>
      </c>
      <c r="H646" s="12">
        <f t="shared" si="10"/>
        <v>-4866.1899999999996</v>
      </c>
    </row>
    <row r="647" spans="1:8">
      <c r="A647" s="14">
        <v>642</v>
      </c>
      <c r="B647" s="9">
        <v>45849</v>
      </c>
      <c r="C647" s="10" t="s">
        <v>113</v>
      </c>
      <c r="D647" s="10" t="s">
        <v>15</v>
      </c>
      <c r="E647" s="11" t="s">
        <v>8</v>
      </c>
      <c r="F647" s="5">
        <v>8102.86</v>
      </c>
      <c r="G647" s="13" t="s">
        <v>114</v>
      </c>
      <c r="H647" s="12">
        <f t="shared" si="10"/>
        <v>-8102.86</v>
      </c>
    </row>
    <row r="648" spans="1:8">
      <c r="A648" s="14">
        <v>643</v>
      </c>
      <c r="B648" s="9">
        <v>45849</v>
      </c>
      <c r="C648" s="10" t="s">
        <v>113</v>
      </c>
      <c r="D648" s="10" t="s">
        <v>17</v>
      </c>
      <c r="E648" s="11" t="s">
        <v>36</v>
      </c>
      <c r="F648" s="5">
        <v>628.15</v>
      </c>
      <c r="G648" s="13" t="s">
        <v>114</v>
      </c>
      <c r="H648" s="12">
        <f t="shared" si="10"/>
        <v>-628.15</v>
      </c>
    </row>
    <row r="649" spans="1:8">
      <c r="A649" s="14">
        <v>644</v>
      </c>
      <c r="B649" s="9">
        <v>45849</v>
      </c>
      <c r="C649" s="10" t="s">
        <v>113</v>
      </c>
      <c r="D649" s="10" t="s">
        <v>14</v>
      </c>
      <c r="E649" s="11" t="s">
        <v>23</v>
      </c>
      <c r="F649" s="5">
        <v>2627.9</v>
      </c>
      <c r="G649" s="13" t="s">
        <v>114</v>
      </c>
      <c r="H649" s="12">
        <f t="shared" si="10"/>
        <v>-2627.9</v>
      </c>
    </row>
    <row r="650" spans="1:8">
      <c r="A650" s="14">
        <v>645</v>
      </c>
      <c r="B650" s="9">
        <v>45849</v>
      </c>
      <c r="C650" s="10" t="s">
        <v>113</v>
      </c>
      <c r="D650" s="10" t="s">
        <v>16</v>
      </c>
      <c r="E650" s="11" t="s">
        <v>45</v>
      </c>
      <c r="F650" s="5">
        <v>3595.59</v>
      </c>
      <c r="G650" s="13" t="s">
        <v>114</v>
      </c>
      <c r="H650" s="12">
        <f t="shared" si="10"/>
        <v>-3595.59</v>
      </c>
    </row>
    <row r="651" spans="1:8">
      <c r="A651" s="14">
        <v>646</v>
      </c>
      <c r="B651" s="9">
        <v>45849</v>
      </c>
      <c r="C651" s="10" t="s">
        <v>113</v>
      </c>
      <c r="D651" s="10" t="s">
        <v>14</v>
      </c>
      <c r="E651" s="11" t="s">
        <v>64</v>
      </c>
      <c r="F651" s="5">
        <v>735.61</v>
      </c>
      <c r="G651" s="13" t="s">
        <v>114</v>
      </c>
      <c r="H651" s="12">
        <f t="shared" si="10"/>
        <v>-735.61</v>
      </c>
    </row>
    <row r="652" spans="1:8">
      <c r="A652" s="14">
        <v>647</v>
      </c>
      <c r="B652" s="9">
        <v>45850</v>
      </c>
      <c r="C652" s="10" t="s">
        <v>113</v>
      </c>
      <c r="D652" s="10" t="s">
        <v>14</v>
      </c>
      <c r="E652" s="11" t="s">
        <v>23</v>
      </c>
      <c r="F652" s="5">
        <v>3668.13</v>
      </c>
      <c r="G652" s="13" t="s">
        <v>114</v>
      </c>
      <c r="H652" s="12">
        <f t="shared" si="10"/>
        <v>-3668.13</v>
      </c>
    </row>
    <row r="653" spans="1:8">
      <c r="A653" s="14">
        <v>648</v>
      </c>
      <c r="B653" s="9">
        <v>45850</v>
      </c>
      <c r="C653" s="10" t="s">
        <v>113</v>
      </c>
      <c r="D653" s="10" t="s">
        <v>16</v>
      </c>
      <c r="E653" s="11" t="s">
        <v>33</v>
      </c>
      <c r="F653" s="5">
        <v>1424.6</v>
      </c>
      <c r="G653" s="13" t="s">
        <v>114</v>
      </c>
      <c r="H653" s="12">
        <f t="shared" si="10"/>
        <v>-1424.6</v>
      </c>
    </row>
    <row r="654" spans="1:8">
      <c r="A654" s="14">
        <v>649</v>
      </c>
      <c r="B654" s="9">
        <v>45851</v>
      </c>
      <c r="C654" s="10" t="s">
        <v>113</v>
      </c>
      <c r="D654" s="10" t="s">
        <v>15</v>
      </c>
      <c r="E654" s="11" t="s">
        <v>71</v>
      </c>
      <c r="F654" s="5">
        <v>2634.55</v>
      </c>
      <c r="G654" s="13" t="s">
        <v>114</v>
      </c>
      <c r="H654" s="12">
        <f t="shared" si="10"/>
        <v>-2634.55</v>
      </c>
    </row>
    <row r="655" spans="1:8">
      <c r="A655" s="14">
        <v>650</v>
      </c>
      <c r="B655" s="9">
        <v>45852</v>
      </c>
      <c r="C655" s="10" t="s">
        <v>113</v>
      </c>
      <c r="D655" s="10" t="s">
        <v>16</v>
      </c>
      <c r="E655" s="11" t="s">
        <v>68</v>
      </c>
      <c r="F655" s="5">
        <v>6664.49</v>
      </c>
      <c r="G655" s="13" t="s">
        <v>114</v>
      </c>
      <c r="H655" s="12">
        <f t="shared" si="10"/>
        <v>-6664.49</v>
      </c>
    </row>
    <row r="656" spans="1:8">
      <c r="A656" s="14">
        <v>651</v>
      </c>
      <c r="B656" s="9">
        <v>45852</v>
      </c>
      <c r="C656" s="10" t="s">
        <v>113</v>
      </c>
      <c r="D656" s="10" t="s">
        <v>15</v>
      </c>
      <c r="E656" s="11" t="s">
        <v>66</v>
      </c>
      <c r="F656" s="5">
        <v>8808.5</v>
      </c>
      <c r="G656" s="13" t="s">
        <v>114</v>
      </c>
      <c r="H656" s="12">
        <f t="shared" si="10"/>
        <v>-8808.5</v>
      </c>
    </row>
    <row r="657" spans="1:8">
      <c r="A657" s="14">
        <v>652</v>
      </c>
      <c r="B657" s="9">
        <v>45852</v>
      </c>
      <c r="C657" s="10" t="s">
        <v>113</v>
      </c>
      <c r="D657" s="10" t="s">
        <v>10</v>
      </c>
      <c r="E657" s="11" t="s">
        <v>24</v>
      </c>
      <c r="F657" s="5">
        <v>8038.56</v>
      </c>
      <c r="G657" s="13" t="s">
        <v>114</v>
      </c>
      <c r="H657" s="12">
        <f t="shared" si="10"/>
        <v>-8038.56</v>
      </c>
    </row>
    <row r="658" spans="1:8">
      <c r="A658" s="14">
        <v>653</v>
      </c>
      <c r="B658" s="9">
        <v>45852</v>
      </c>
      <c r="C658" s="10" t="s">
        <v>113</v>
      </c>
      <c r="D658" s="10" t="s">
        <v>10</v>
      </c>
      <c r="E658" s="11" t="s">
        <v>59</v>
      </c>
      <c r="F658" s="5">
        <v>3035.92</v>
      </c>
      <c r="G658" s="13" t="s">
        <v>114</v>
      </c>
      <c r="H658" s="12">
        <f t="shared" si="10"/>
        <v>-3035.92</v>
      </c>
    </row>
    <row r="659" spans="1:8">
      <c r="A659" s="14">
        <v>654</v>
      </c>
      <c r="B659" s="9">
        <v>45852</v>
      </c>
      <c r="C659" s="10" t="s">
        <v>113</v>
      </c>
      <c r="D659" s="10" t="s">
        <v>17</v>
      </c>
      <c r="E659" s="11" t="s">
        <v>25</v>
      </c>
      <c r="F659" s="5">
        <v>3992.04</v>
      </c>
      <c r="G659" s="13" t="s">
        <v>114</v>
      </c>
      <c r="H659" s="12">
        <f t="shared" si="10"/>
        <v>-3992.04</v>
      </c>
    </row>
    <row r="660" spans="1:8">
      <c r="A660" s="14">
        <v>655</v>
      </c>
      <c r="B660" s="9">
        <v>45853</v>
      </c>
      <c r="C660" s="10" t="s">
        <v>113</v>
      </c>
      <c r="D660" s="10" t="s">
        <v>10</v>
      </c>
      <c r="E660" s="11" t="s">
        <v>19</v>
      </c>
      <c r="F660" s="5">
        <v>10324.75</v>
      </c>
      <c r="G660" s="13" t="s">
        <v>114</v>
      </c>
      <c r="H660" s="12">
        <f t="shared" si="10"/>
        <v>-10324.75</v>
      </c>
    </row>
    <row r="661" spans="1:8">
      <c r="A661" s="14">
        <v>656</v>
      </c>
      <c r="B661" s="9">
        <v>45853</v>
      </c>
      <c r="C661" s="10" t="s">
        <v>113</v>
      </c>
      <c r="D661" s="10" t="s">
        <v>16</v>
      </c>
      <c r="E661" s="11" t="s">
        <v>22</v>
      </c>
      <c r="F661" s="5">
        <v>1743.19</v>
      </c>
      <c r="G661" s="13" t="s">
        <v>114</v>
      </c>
      <c r="H661" s="12">
        <f t="shared" si="10"/>
        <v>-1743.19</v>
      </c>
    </row>
    <row r="662" spans="1:8">
      <c r="A662" s="14">
        <v>657</v>
      </c>
      <c r="B662" s="9">
        <v>45853</v>
      </c>
      <c r="C662" s="10" t="s">
        <v>113</v>
      </c>
      <c r="D662" s="10" t="s">
        <v>15</v>
      </c>
      <c r="E662" s="11" t="s">
        <v>55</v>
      </c>
      <c r="F662" s="5">
        <v>3868.37</v>
      </c>
      <c r="G662" s="13" t="s">
        <v>114</v>
      </c>
      <c r="H662" s="12">
        <f t="shared" si="10"/>
        <v>-3868.37</v>
      </c>
    </row>
    <row r="663" spans="1:8">
      <c r="A663" s="14">
        <v>658</v>
      </c>
      <c r="B663" s="9">
        <v>45853</v>
      </c>
      <c r="C663" s="10" t="s">
        <v>113</v>
      </c>
      <c r="D663" s="10" t="s">
        <v>16</v>
      </c>
      <c r="E663" s="11" t="s">
        <v>33</v>
      </c>
      <c r="F663" s="5">
        <v>1291.5999999999999</v>
      </c>
      <c r="G663" s="13" t="s">
        <v>114</v>
      </c>
      <c r="H663" s="12">
        <f t="shared" si="10"/>
        <v>-1291.5999999999999</v>
      </c>
    </row>
    <row r="664" spans="1:8">
      <c r="A664" s="14">
        <v>659</v>
      </c>
      <c r="B664" s="9">
        <v>45853</v>
      </c>
      <c r="C664" s="10" t="s">
        <v>113</v>
      </c>
      <c r="D664" s="10" t="s">
        <v>10</v>
      </c>
      <c r="E664" s="11" t="s">
        <v>70</v>
      </c>
      <c r="F664" s="5">
        <v>4081.99</v>
      </c>
      <c r="G664" s="13" t="s">
        <v>114</v>
      </c>
      <c r="H664" s="12">
        <f t="shared" si="10"/>
        <v>-4081.99</v>
      </c>
    </row>
    <row r="665" spans="1:8">
      <c r="A665" s="14">
        <v>660</v>
      </c>
      <c r="B665" s="9">
        <v>45854</v>
      </c>
      <c r="C665" s="10" t="s">
        <v>113</v>
      </c>
      <c r="D665" s="10" t="s">
        <v>17</v>
      </c>
      <c r="E665" s="11" t="s">
        <v>20</v>
      </c>
      <c r="F665" s="5">
        <v>400.17</v>
      </c>
      <c r="G665" s="13" t="s">
        <v>114</v>
      </c>
      <c r="H665" s="12">
        <f t="shared" si="10"/>
        <v>-400.17</v>
      </c>
    </row>
    <row r="666" spans="1:8">
      <c r="A666" s="14">
        <v>661</v>
      </c>
      <c r="B666" s="9">
        <v>45854</v>
      </c>
      <c r="C666" s="10" t="s">
        <v>113</v>
      </c>
      <c r="D666" s="10" t="s">
        <v>15</v>
      </c>
      <c r="E666" s="11" t="s">
        <v>61</v>
      </c>
      <c r="F666" s="5">
        <v>2180.36</v>
      </c>
      <c r="G666" s="13" t="s">
        <v>114</v>
      </c>
      <c r="H666" s="12">
        <f t="shared" si="10"/>
        <v>-2180.36</v>
      </c>
    </row>
    <row r="667" spans="1:8">
      <c r="A667" s="14">
        <v>662</v>
      </c>
      <c r="B667" s="9">
        <v>45855</v>
      </c>
      <c r="C667" s="10" t="s">
        <v>113</v>
      </c>
      <c r="D667" s="10" t="s">
        <v>9</v>
      </c>
      <c r="E667" s="11" t="s">
        <v>27</v>
      </c>
      <c r="F667" s="5">
        <v>3145.76</v>
      </c>
      <c r="G667" s="13" t="s">
        <v>114</v>
      </c>
      <c r="H667" s="12">
        <f t="shared" si="10"/>
        <v>-3145.76</v>
      </c>
    </row>
    <row r="668" spans="1:8">
      <c r="A668" s="14">
        <v>663</v>
      </c>
      <c r="B668" s="9">
        <v>45855</v>
      </c>
      <c r="C668" s="10" t="s">
        <v>113</v>
      </c>
      <c r="D668" s="10" t="s">
        <v>16</v>
      </c>
      <c r="E668" s="11" t="s">
        <v>39</v>
      </c>
      <c r="F668" s="5">
        <v>710.28</v>
      </c>
      <c r="G668" s="13" t="s">
        <v>114</v>
      </c>
      <c r="H668" s="12">
        <f t="shared" si="10"/>
        <v>-710.28</v>
      </c>
    </row>
    <row r="669" spans="1:8">
      <c r="A669" s="14">
        <v>664</v>
      </c>
      <c r="B669" s="9">
        <v>45855</v>
      </c>
      <c r="C669" s="10" t="s">
        <v>113</v>
      </c>
      <c r="D669" s="10" t="s">
        <v>9</v>
      </c>
      <c r="E669" s="11" t="s">
        <v>50</v>
      </c>
      <c r="F669" s="5">
        <v>1154.02</v>
      </c>
      <c r="G669" s="13" t="s">
        <v>114</v>
      </c>
      <c r="H669" s="12">
        <f t="shared" si="10"/>
        <v>-1154.02</v>
      </c>
    </row>
    <row r="670" spans="1:8">
      <c r="A670" s="14">
        <v>665</v>
      </c>
      <c r="B670" s="9">
        <v>45855</v>
      </c>
      <c r="C670" s="10" t="s">
        <v>113</v>
      </c>
      <c r="D670" s="10" t="s">
        <v>9</v>
      </c>
      <c r="E670" s="11" t="s">
        <v>32</v>
      </c>
      <c r="F670" s="5">
        <v>1964.07</v>
      </c>
      <c r="G670" s="13" t="s">
        <v>114</v>
      </c>
      <c r="H670" s="12">
        <f t="shared" si="10"/>
        <v>-1964.07</v>
      </c>
    </row>
    <row r="671" spans="1:8">
      <c r="A671" s="14">
        <v>666</v>
      </c>
      <c r="B671" s="9">
        <v>45856</v>
      </c>
      <c r="C671" s="10" t="s">
        <v>113</v>
      </c>
      <c r="D671" s="10" t="s">
        <v>15</v>
      </c>
      <c r="E671" s="11" t="s">
        <v>49</v>
      </c>
      <c r="F671" s="5">
        <v>3208.19</v>
      </c>
      <c r="G671" s="13" t="s">
        <v>114</v>
      </c>
      <c r="H671" s="12">
        <f t="shared" si="10"/>
        <v>-3208.19</v>
      </c>
    </row>
    <row r="672" spans="1:8">
      <c r="A672" s="14">
        <v>667</v>
      </c>
      <c r="B672" s="9">
        <v>45856</v>
      </c>
      <c r="C672" s="10" t="s">
        <v>113</v>
      </c>
      <c r="D672" s="10" t="s">
        <v>14</v>
      </c>
      <c r="E672" s="11" t="s">
        <v>46</v>
      </c>
      <c r="F672" s="5">
        <v>1425.81</v>
      </c>
      <c r="G672" s="13" t="s">
        <v>114</v>
      </c>
      <c r="H672" s="12">
        <f t="shared" si="10"/>
        <v>-1425.81</v>
      </c>
    </row>
    <row r="673" spans="1:8">
      <c r="A673" s="14">
        <v>668</v>
      </c>
      <c r="B673" s="9">
        <v>45856</v>
      </c>
      <c r="C673" s="10" t="s">
        <v>113</v>
      </c>
      <c r="D673" s="10" t="s">
        <v>14</v>
      </c>
      <c r="E673" s="11" t="s">
        <v>34</v>
      </c>
      <c r="F673" s="5">
        <v>8278.14</v>
      </c>
      <c r="G673" s="13" t="s">
        <v>114</v>
      </c>
      <c r="H673" s="12">
        <f t="shared" si="10"/>
        <v>-8278.14</v>
      </c>
    </row>
    <row r="674" spans="1:8">
      <c r="A674" s="14">
        <v>669</v>
      </c>
      <c r="B674" s="9">
        <v>45856</v>
      </c>
      <c r="C674" s="10" t="s">
        <v>113</v>
      </c>
      <c r="D674" s="10" t="s">
        <v>9</v>
      </c>
      <c r="E674" s="11" t="s">
        <v>21</v>
      </c>
      <c r="F674" s="5">
        <v>2344.59</v>
      </c>
      <c r="G674" s="13" t="s">
        <v>114</v>
      </c>
      <c r="H674" s="12">
        <f t="shared" si="10"/>
        <v>-2344.59</v>
      </c>
    </row>
    <row r="675" spans="1:8">
      <c r="A675" s="14">
        <v>670</v>
      </c>
      <c r="B675" s="9">
        <v>45857</v>
      </c>
      <c r="C675" s="10" t="s">
        <v>113</v>
      </c>
      <c r="D675" s="10" t="s">
        <v>15</v>
      </c>
      <c r="E675" s="11" t="s">
        <v>66</v>
      </c>
      <c r="F675" s="5">
        <v>4889.1099999999997</v>
      </c>
      <c r="G675" s="13" t="s">
        <v>114</v>
      </c>
      <c r="H675" s="12">
        <f t="shared" si="10"/>
        <v>-4889.1099999999997</v>
      </c>
    </row>
    <row r="676" spans="1:8">
      <c r="A676" s="14">
        <v>671</v>
      </c>
      <c r="B676" s="9">
        <v>45858</v>
      </c>
      <c r="C676" s="10" t="s">
        <v>113</v>
      </c>
      <c r="D676" s="10" t="s">
        <v>10</v>
      </c>
      <c r="E676" s="11" t="s">
        <v>41</v>
      </c>
      <c r="F676" s="5">
        <v>8405.91</v>
      </c>
      <c r="G676" s="13" t="s">
        <v>114</v>
      </c>
      <c r="H676" s="12">
        <f t="shared" si="10"/>
        <v>-8405.91</v>
      </c>
    </row>
    <row r="677" spans="1:8">
      <c r="A677" s="14">
        <v>672</v>
      </c>
      <c r="B677" s="9">
        <v>45858</v>
      </c>
      <c r="C677" s="10" t="s">
        <v>113</v>
      </c>
      <c r="D677" s="10" t="s">
        <v>15</v>
      </c>
      <c r="E677" s="11" t="s">
        <v>26</v>
      </c>
      <c r="F677" s="5">
        <v>5647.22</v>
      </c>
      <c r="G677" s="13" t="s">
        <v>114</v>
      </c>
      <c r="H677" s="12">
        <f t="shared" si="10"/>
        <v>-5647.22</v>
      </c>
    </row>
    <row r="678" spans="1:8">
      <c r="A678" s="14">
        <v>673</v>
      </c>
      <c r="B678" s="9">
        <v>45858</v>
      </c>
      <c r="C678" s="10" t="s">
        <v>113</v>
      </c>
      <c r="D678" s="10" t="s">
        <v>14</v>
      </c>
      <c r="E678" s="11" t="s">
        <v>46</v>
      </c>
      <c r="F678" s="5">
        <v>1674.73</v>
      </c>
      <c r="G678" s="13" t="s">
        <v>114</v>
      </c>
      <c r="H678" s="12">
        <f t="shared" si="10"/>
        <v>-1674.73</v>
      </c>
    </row>
    <row r="679" spans="1:8">
      <c r="A679" s="14">
        <v>674</v>
      </c>
      <c r="B679" s="9">
        <v>45858</v>
      </c>
      <c r="C679" s="10" t="s">
        <v>113</v>
      </c>
      <c r="D679" s="10" t="s">
        <v>9</v>
      </c>
      <c r="E679" s="11" t="s">
        <v>32</v>
      </c>
      <c r="F679" s="5">
        <v>433.23</v>
      </c>
      <c r="G679" s="13" t="s">
        <v>114</v>
      </c>
      <c r="H679" s="12">
        <f t="shared" si="10"/>
        <v>-433.23</v>
      </c>
    </row>
    <row r="680" spans="1:8">
      <c r="A680" s="14">
        <v>675</v>
      </c>
      <c r="B680" s="9">
        <v>45859</v>
      </c>
      <c r="C680" s="10" t="s">
        <v>113</v>
      </c>
      <c r="D680" s="10" t="s">
        <v>15</v>
      </c>
      <c r="E680" s="11" t="s">
        <v>8</v>
      </c>
      <c r="F680" s="5">
        <v>5767.69</v>
      </c>
      <c r="G680" s="13" t="s">
        <v>114</v>
      </c>
      <c r="H680" s="12">
        <f t="shared" si="10"/>
        <v>-5767.69</v>
      </c>
    </row>
    <row r="681" spans="1:8">
      <c r="A681" s="14">
        <v>676</v>
      </c>
      <c r="B681" s="9">
        <v>45859</v>
      </c>
      <c r="C681" s="10" t="s">
        <v>113</v>
      </c>
      <c r="D681" s="10" t="s">
        <v>14</v>
      </c>
      <c r="E681" s="11" t="s">
        <v>40</v>
      </c>
      <c r="F681" s="5">
        <v>6596.87</v>
      </c>
      <c r="G681" s="13" t="s">
        <v>114</v>
      </c>
      <c r="H681" s="12">
        <f t="shared" si="10"/>
        <v>-6596.87</v>
      </c>
    </row>
    <row r="682" spans="1:8">
      <c r="A682" s="14">
        <v>677</v>
      </c>
      <c r="B682" s="9">
        <v>45859</v>
      </c>
      <c r="C682" s="10" t="s">
        <v>113</v>
      </c>
      <c r="D682" s="10" t="s">
        <v>15</v>
      </c>
      <c r="E682" s="11" t="s">
        <v>26</v>
      </c>
      <c r="F682" s="5">
        <v>2293.46</v>
      </c>
      <c r="G682" s="13" t="s">
        <v>114</v>
      </c>
      <c r="H682" s="12">
        <f t="shared" si="10"/>
        <v>-2293.46</v>
      </c>
    </row>
    <row r="683" spans="1:8">
      <c r="A683" s="14">
        <v>678</v>
      </c>
      <c r="B683" s="9">
        <v>45859</v>
      </c>
      <c r="C683" s="10" t="s">
        <v>113</v>
      </c>
      <c r="D683" s="10" t="s">
        <v>14</v>
      </c>
      <c r="E683" s="11" t="s">
        <v>23</v>
      </c>
      <c r="F683" s="5">
        <v>3312.93</v>
      </c>
      <c r="G683" s="13" t="s">
        <v>114</v>
      </c>
      <c r="H683" s="12">
        <f t="shared" si="10"/>
        <v>-3312.93</v>
      </c>
    </row>
    <row r="684" spans="1:8">
      <c r="A684" s="14">
        <v>679</v>
      </c>
      <c r="B684" s="9">
        <v>45859</v>
      </c>
      <c r="C684" s="10" t="s">
        <v>113</v>
      </c>
      <c r="D684" s="10" t="s">
        <v>14</v>
      </c>
      <c r="E684" s="11" t="s">
        <v>46</v>
      </c>
      <c r="F684" s="5">
        <v>2047.45</v>
      </c>
      <c r="G684" s="13" t="s">
        <v>114</v>
      </c>
      <c r="H684" s="12">
        <f t="shared" si="10"/>
        <v>-2047.45</v>
      </c>
    </row>
    <row r="685" spans="1:8">
      <c r="A685" s="14">
        <v>680</v>
      </c>
      <c r="B685" s="9">
        <v>45860</v>
      </c>
      <c r="C685" s="10" t="s">
        <v>113</v>
      </c>
      <c r="D685" s="10" t="s">
        <v>15</v>
      </c>
      <c r="E685" s="11" t="s">
        <v>61</v>
      </c>
      <c r="F685" s="5">
        <v>1416.9</v>
      </c>
      <c r="G685" s="13" t="s">
        <v>114</v>
      </c>
      <c r="H685" s="12">
        <f t="shared" si="10"/>
        <v>-1416.9</v>
      </c>
    </row>
    <row r="686" spans="1:8">
      <c r="A686" s="14">
        <v>681</v>
      </c>
      <c r="B686" s="9">
        <v>45860</v>
      </c>
      <c r="C686" s="10" t="s">
        <v>113</v>
      </c>
      <c r="D686" s="10" t="s">
        <v>15</v>
      </c>
      <c r="E686" s="11" t="s">
        <v>37</v>
      </c>
      <c r="F686" s="5">
        <v>1007.62</v>
      </c>
      <c r="G686" s="13" t="s">
        <v>114</v>
      </c>
      <c r="H686" s="12">
        <f t="shared" si="10"/>
        <v>-1007.62</v>
      </c>
    </row>
    <row r="687" spans="1:8">
      <c r="A687" s="14">
        <v>682</v>
      </c>
      <c r="B687" s="9">
        <v>45860</v>
      </c>
      <c r="C687" s="10" t="s">
        <v>113</v>
      </c>
      <c r="D687" s="10" t="s">
        <v>9</v>
      </c>
      <c r="E687" s="11" t="s">
        <v>27</v>
      </c>
      <c r="F687" s="5">
        <v>2509.79</v>
      </c>
      <c r="G687" s="13" t="s">
        <v>114</v>
      </c>
      <c r="H687" s="12">
        <f t="shared" si="10"/>
        <v>-2509.79</v>
      </c>
    </row>
    <row r="688" spans="1:8">
      <c r="A688" s="14">
        <v>683</v>
      </c>
      <c r="B688" s="9">
        <v>45860</v>
      </c>
      <c r="C688" s="10" t="s">
        <v>113</v>
      </c>
      <c r="D688" s="10" t="s">
        <v>10</v>
      </c>
      <c r="E688" s="11" t="s">
        <v>65</v>
      </c>
      <c r="F688" s="5">
        <v>2500.1999999999998</v>
      </c>
      <c r="G688" s="13" t="s">
        <v>114</v>
      </c>
      <c r="H688" s="12">
        <f t="shared" si="10"/>
        <v>-2500.1999999999998</v>
      </c>
    </row>
    <row r="689" spans="1:8">
      <c r="A689" s="14">
        <v>684</v>
      </c>
      <c r="B689" s="9">
        <v>45861</v>
      </c>
      <c r="C689" s="10" t="s">
        <v>113</v>
      </c>
      <c r="D689" s="10" t="s">
        <v>15</v>
      </c>
      <c r="E689" s="11" t="s">
        <v>66</v>
      </c>
      <c r="F689" s="5">
        <v>4481.25</v>
      </c>
      <c r="G689" s="13" t="s">
        <v>114</v>
      </c>
      <c r="H689" s="12">
        <f t="shared" si="10"/>
        <v>-4481.25</v>
      </c>
    </row>
    <row r="690" spans="1:8">
      <c r="A690" s="14">
        <v>685</v>
      </c>
      <c r="B690" s="9">
        <v>45861</v>
      </c>
      <c r="C690" s="10" t="s">
        <v>113</v>
      </c>
      <c r="D690" s="10" t="s">
        <v>16</v>
      </c>
      <c r="E690" s="11" t="s">
        <v>73</v>
      </c>
      <c r="F690" s="5">
        <v>1028.6099999999999</v>
      </c>
      <c r="G690" s="13" t="s">
        <v>114</v>
      </c>
      <c r="H690" s="12">
        <f t="shared" si="10"/>
        <v>-1028.6099999999999</v>
      </c>
    </row>
    <row r="691" spans="1:8">
      <c r="A691" s="14">
        <v>686</v>
      </c>
      <c r="B691" s="9">
        <v>45861</v>
      </c>
      <c r="C691" s="10" t="s">
        <v>113</v>
      </c>
      <c r="D691" s="10" t="s">
        <v>10</v>
      </c>
      <c r="E691" s="11" t="s">
        <v>65</v>
      </c>
      <c r="F691" s="5">
        <v>3261.45</v>
      </c>
      <c r="G691" s="13" t="s">
        <v>114</v>
      </c>
      <c r="H691" s="12">
        <f t="shared" si="10"/>
        <v>-3261.45</v>
      </c>
    </row>
    <row r="692" spans="1:8">
      <c r="A692" s="14">
        <v>687</v>
      </c>
      <c r="B692" s="9">
        <v>45862</v>
      </c>
      <c r="C692" s="10" t="s">
        <v>113</v>
      </c>
      <c r="D692" s="10" t="s">
        <v>16</v>
      </c>
      <c r="E692" s="11" t="s">
        <v>22</v>
      </c>
      <c r="F692" s="5">
        <v>2236.9499999999998</v>
      </c>
      <c r="G692" s="13" t="s">
        <v>114</v>
      </c>
      <c r="H692" s="12">
        <f t="shared" si="10"/>
        <v>-2236.9499999999998</v>
      </c>
    </row>
    <row r="693" spans="1:8">
      <c r="A693" s="14">
        <v>688</v>
      </c>
      <c r="B693" s="9">
        <v>45862</v>
      </c>
      <c r="C693" s="10" t="s">
        <v>113</v>
      </c>
      <c r="D693" s="10" t="s">
        <v>10</v>
      </c>
      <c r="E693" s="11" t="s">
        <v>24</v>
      </c>
      <c r="F693" s="5">
        <v>6728.93</v>
      </c>
      <c r="G693" s="13" t="s">
        <v>114</v>
      </c>
      <c r="H693" s="12">
        <f t="shared" si="10"/>
        <v>-6728.93</v>
      </c>
    </row>
    <row r="694" spans="1:8">
      <c r="A694" s="14">
        <v>689</v>
      </c>
      <c r="B694" s="9">
        <v>45863</v>
      </c>
      <c r="C694" s="10" t="s">
        <v>113</v>
      </c>
      <c r="D694" s="10" t="s">
        <v>9</v>
      </c>
      <c r="E694" s="11" t="s">
        <v>27</v>
      </c>
      <c r="F694" s="5">
        <v>1003.79</v>
      </c>
      <c r="G694" s="13" t="s">
        <v>114</v>
      </c>
      <c r="H694" s="12">
        <f t="shared" si="10"/>
        <v>-1003.79</v>
      </c>
    </row>
    <row r="695" spans="1:8">
      <c r="A695" s="14">
        <v>690</v>
      </c>
      <c r="B695" s="9">
        <v>45863</v>
      </c>
      <c r="C695" s="10" t="s">
        <v>113</v>
      </c>
      <c r="D695" s="10" t="s">
        <v>16</v>
      </c>
      <c r="E695" s="11" t="s">
        <v>22</v>
      </c>
      <c r="F695" s="5">
        <v>3958.31</v>
      </c>
      <c r="G695" s="13" t="s">
        <v>114</v>
      </c>
      <c r="H695" s="12">
        <f t="shared" si="10"/>
        <v>-3958.31</v>
      </c>
    </row>
    <row r="696" spans="1:8">
      <c r="A696" s="14">
        <v>691</v>
      </c>
      <c r="B696" s="9">
        <v>45863</v>
      </c>
      <c r="C696" s="10" t="s">
        <v>113</v>
      </c>
      <c r="D696" s="10" t="s">
        <v>17</v>
      </c>
      <c r="E696" s="11" t="s">
        <v>48</v>
      </c>
      <c r="F696" s="5">
        <v>1088.8800000000001</v>
      </c>
      <c r="G696" s="13" t="s">
        <v>114</v>
      </c>
      <c r="H696" s="12">
        <f t="shared" si="10"/>
        <v>-1088.8800000000001</v>
      </c>
    </row>
    <row r="697" spans="1:8">
      <c r="A697" s="14">
        <v>692</v>
      </c>
      <c r="B697" s="9">
        <v>45863</v>
      </c>
      <c r="C697" s="10" t="s">
        <v>113</v>
      </c>
      <c r="D697" s="10" t="s">
        <v>17</v>
      </c>
      <c r="E697" s="11" t="s">
        <v>48</v>
      </c>
      <c r="F697" s="5">
        <v>1771.48</v>
      </c>
      <c r="G697" s="13" t="s">
        <v>114</v>
      </c>
      <c r="H697" s="12">
        <f t="shared" si="10"/>
        <v>-1771.48</v>
      </c>
    </row>
    <row r="698" spans="1:8">
      <c r="A698" s="14">
        <v>693</v>
      </c>
      <c r="B698" s="9">
        <v>45864</v>
      </c>
      <c r="C698" s="10" t="s">
        <v>113</v>
      </c>
      <c r="D698" s="10" t="s">
        <v>14</v>
      </c>
      <c r="E698" s="11" t="s">
        <v>52</v>
      </c>
      <c r="F698" s="5">
        <v>1157.17</v>
      </c>
      <c r="G698" s="13" t="s">
        <v>114</v>
      </c>
      <c r="H698" s="12">
        <f t="shared" si="10"/>
        <v>-1157.17</v>
      </c>
    </row>
    <row r="699" spans="1:8">
      <c r="A699" s="14">
        <v>694</v>
      </c>
      <c r="B699" s="9">
        <v>45865</v>
      </c>
      <c r="C699" s="10" t="s">
        <v>113</v>
      </c>
      <c r="D699" s="10" t="s">
        <v>9</v>
      </c>
      <c r="E699" s="11" t="s">
        <v>32</v>
      </c>
      <c r="F699" s="5">
        <v>890.45</v>
      </c>
      <c r="G699" s="13" t="s">
        <v>114</v>
      </c>
      <c r="H699" s="12">
        <f t="shared" si="10"/>
        <v>-890.45</v>
      </c>
    </row>
    <row r="700" spans="1:8">
      <c r="A700" s="14">
        <v>695</v>
      </c>
      <c r="B700" s="9">
        <v>45865</v>
      </c>
      <c r="C700" s="10" t="s">
        <v>113</v>
      </c>
      <c r="D700" s="10" t="s">
        <v>15</v>
      </c>
      <c r="E700" s="11" t="s">
        <v>49</v>
      </c>
      <c r="F700" s="5">
        <v>1300.05</v>
      </c>
      <c r="G700" s="13" t="s">
        <v>114</v>
      </c>
      <c r="H700" s="12">
        <f t="shared" si="10"/>
        <v>-1300.05</v>
      </c>
    </row>
    <row r="701" spans="1:8">
      <c r="A701" s="14">
        <v>696</v>
      </c>
      <c r="B701" s="9">
        <v>45865</v>
      </c>
      <c r="C701" s="10" t="s">
        <v>113</v>
      </c>
      <c r="D701" s="10" t="s">
        <v>9</v>
      </c>
      <c r="E701" s="11" t="s">
        <v>72</v>
      </c>
      <c r="F701" s="5">
        <v>3619.27</v>
      </c>
      <c r="G701" s="13" t="s">
        <v>114</v>
      </c>
      <c r="H701" s="12">
        <f t="shared" si="10"/>
        <v>-3619.27</v>
      </c>
    </row>
    <row r="702" spans="1:8">
      <c r="A702" s="14">
        <v>697</v>
      </c>
      <c r="B702" s="9">
        <v>45866</v>
      </c>
      <c r="C702" s="10" t="s">
        <v>113</v>
      </c>
      <c r="D702" s="10" t="s">
        <v>9</v>
      </c>
      <c r="E702" s="11" t="s">
        <v>62</v>
      </c>
      <c r="F702" s="5">
        <v>1236.5</v>
      </c>
      <c r="G702" s="13" t="s">
        <v>114</v>
      </c>
      <c r="H702" s="12">
        <f t="shared" si="10"/>
        <v>-1236.5</v>
      </c>
    </row>
    <row r="703" spans="1:8">
      <c r="A703" s="14">
        <v>698</v>
      </c>
      <c r="B703" s="9">
        <v>45866</v>
      </c>
      <c r="C703" s="10" t="s">
        <v>113</v>
      </c>
      <c r="D703" s="10" t="s">
        <v>9</v>
      </c>
      <c r="E703" s="11" t="s">
        <v>38</v>
      </c>
      <c r="F703" s="5">
        <v>2984.51</v>
      </c>
      <c r="G703" s="13" t="s">
        <v>114</v>
      </c>
      <c r="H703" s="12">
        <f t="shared" si="10"/>
        <v>-2984.51</v>
      </c>
    </row>
    <row r="704" spans="1:8">
      <c r="A704" s="14">
        <v>699</v>
      </c>
      <c r="B704" s="9">
        <v>45866</v>
      </c>
      <c r="C704" s="10" t="s">
        <v>113</v>
      </c>
      <c r="D704" s="10" t="s">
        <v>17</v>
      </c>
      <c r="E704" s="11" t="s">
        <v>42</v>
      </c>
      <c r="F704" s="5">
        <v>462.95</v>
      </c>
      <c r="G704" s="13" t="s">
        <v>114</v>
      </c>
      <c r="H704" s="12">
        <f t="shared" si="10"/>
        <v>-462.95</v>
      </c>
    </row>
    <row r="705" spans="1:8">
      <c r="A705" s="14">
        <v>700</v>
      </c>
      <c r="B705" s="9">
        <v>45867</v>
      </c>
      <c r="C705" s="10" t="s">
        <v>113</v>
      </c>
      <c r="D705" s="10" t="s">
        <v>9</v>
      </c>
      <c r="E705" s="11" t="s">
        <v>44</v>
      </c>
      <c r="F705" s="5">
        <v>2281.0300000000002</v>
      </c>
      <c r="G705" s="13" t="s">
        <v>114</v>
      </c>
      <c r="H705" s="12">
        <f t="shared" si="10"/>
        <v>-2281.0300000000002</v>
      </c>
    </row>
    <row r="706" spans="1:8">
      <c r="A706" s="14">
        <v>701</v>
      </c>
      <c r="B706" s="9">
        <v>45867</v>
      </c>
      <c r="C706" s="10" t="s">
        <v>113</v>
      </c>
      <c r="D706" s="10" t="s">
        <v>15</v>
      </c>
      <c r="E706" s="11" t="s">
        <v>55</v>
      </c>
      <c r="F706" s="5">
        <v>2796.28</v>
      </c>
      <c r="G706" s="13" t="s">
        <v>114</v>
      </c>
      <c r="H706" s="12">
        <f t="shared" si="10"/>
        <v>-2796.28</v>
      </c>
    </row>
    <row r="707" spans="1:8">
      <c r="A707" s="14">
        <v>702</v>
      </c>
      <c r="B707" s="9">
        <v>45867</v>
      </c>
      <c r="C707" s="10" t="s">
        <v>113</v>
      </c>
      <c r="D707" s="10" t="s">
        <v>15</v>
      </c>
      <c r="E707" s="11" t="s">
        <v>26</v>
      </c>
      <c r="F707" s="5">
        <v>1505.22</v>
      </c>
      <c r="G707" s="13" t="s">
        <v>114</v>
      </c>
      <c r="H707" s="12">
        <f t="shared" si="10"/>
        <v>-1505.22</v>
      </c>
    </row>
    <row r="708" spans="1:8">
      <c r="A708" s="14">
        <v>703</v>
      </c>
      <c r="B708" s="9">
        <v>45867</v>
      </c>
      <c r="C708" s="10" t="s">
        <v>113</v>
      </c>
      <c r="D708" s="10" t="s">
        <v>9</v>
      </c>
      <c r="E708" s="11" t="s">
        <v>67</v>
      </c>
      <c r="F708" s="5">
        <v>1540.83</v>
      </c>
      <c r="G708" s="13" t="s">
        <v>114</v>
      </c>
      <c r="H708" s="12">
        <f t="shared" si="10"/>
        <v>-1540.83</v>
      </c>
    </row>
    <row r="709" spans="1:8">
      <c r="A709" s="14">
        <v>704</v>
      </c>
      <c r="B709" s="9">
        <v>45867</v>
      </c>
      <c r="C709" s="10" t="s">
        <v>113</v>
      </c>
      <c r="D709" s="10" t="s">
        <v>10</v>
      </c>
      <c r="E709" s="11" t="s">
        <v>53</v>
      </c>
      <c r="F709" s="5">
        <v>4047.62</v>
      </c>
      <c r="G709" s="13" t="s">
        <v>114</v>
      </c>
      <c r="H709" s="12">
        <f t="shared" ref="H709:H772" si="11">IF(C709="Despesa", F709*-1, F709)</f>
        <v>-4047.62</v>
      </c>
    </row>
    <row r="710" spans="1:8">
      <c r="A710" s="14">
        <v>705</v>
      </c>
      <c r="B710" s="9">
        <v>45867</v>
      </c>
      <c r="C710" s="10" t="s">
        <v>113</v>
      </c>
      <c r="D710" s="10" t="s">
        <v>15</v>
      </c>
      <c r="E710" s="11" t="s">
        <v>37</v>
      </c>
      <c r="F710" s="5">
        <v>976.27</v>
      </c>
      <c r="G710" s="13" t="s">
        <v>114</v>
      </c>
      <c r="H710" s="12">
        <f t="shared" si="11"/>
        <v>-976.27</v>
      </c>
    </row>
    <row r="711" spans="1:8">
      <c r="A711" s="14">
        <v>706</v>
      </c>
      <c r="B711" s="9">
        <v>45867</v>
      </c>
      <c r="C711" s="10" t="s">
        <v>113</v>
      </c>
      <c r="D711" s="10" t="s">
        <v>10</v>
      </c>
      <c r="E711" s="11" t="s">
        <v>70</v>
      </c>
      <c r="F711" s="5">
        <v>2437.4299999999998</v>
      </c>
      <c r="G711" s="13" t="s">
        <v>114</v>
      </c>
      <c r="H711" s="12">
        <f t="shared" si="11"/>
        <v>-2437.4299999999998</v>
      </c>
    </row>
    <row r="712" spans="1:8">
      <c r="A712" s="14">
        <v>707</v>
      </c>
      <c r="B712" s="9">
        <v>45867</v>
      </c>
      <c r="C712" s="10" t="s">
        <v>113</v>
      </c>
      <c r="D712" s="10" t="s">
        <v>10</v>
      </c>
      <c r="E712" s="11" t="s">
        <v>59</v>
      </c>
      <c r="F712" s="5">
        <v>7767.52</v>
      </c>
      <c r="G712" s="13" t="s">
        <v>114</v>
      </c>
      <c r="H712" s="12">
        <f t="shared" si="11"/>
        <v>-7767.52</v>
      </c>
    </row>
    <row r="713" spans="1:8">
      <c r="A713" s="14">
        <v>708</v>
      </c>
      <c r="B713" s="9">
        <v>45868</v>
      </c>
      <c r="C713" s="10" t="s">
        <v>113</v>
      </c>
      <c r="D713" s="10" t="s">
        <v>14</v>
      </c>
      <c r="E713" s="11" t="s">
        <v>34</v>
      </c>
      <c r="F713" s="5">
        <v>12632.55</v>
      </c>
      <c r="G713" s="13" t="s">
        <v>114</v>
      </c>
      <c r="H713" s="12">
        <f t="shared" si="11"/>
        <v>-12632.55</v>
      </c>
    </row>
    <row r="714" spans="1:8">
      <c r="A714" s="14">
        <v>709</v>
      </c>
      <c r="B714" s="9">
        <v>45868</v>
      </c>
      <c r="C714" s="10" t="s">
        <v>113</v>
      </c>
      <c r="D714" s="10" t="s">
        <v>15</v>
      </c>
      <c r="E714" s="11" t="s">
        <v>55</v>
      </c>
      <c r="F714" s="5">
        <v>3683.2</v>
      </c>
      <c r="G714" s="13" t="s">
        <v>114</v>
      </c>
      <c r="H714" s="12">
        <f t="shared" si="11"/>
        <v>-3683.2</v>
      </c>
    </row>
    <row r="715" spans="1:8">
      <c r="A715" s="14">
        <v>710</v>
      </c>
      <c r="B715" s="9">
        <v>45868</v>
      </c>
      <c r="C715" s="10" t="s">
        <v>113</v>
      </c>
      <c r="D715" s="10" t="s">
        <v>9</v>
      </c>
      <c r="E715" s="11" t="s">
        <v>72</v>
      </c>
      <c r="F715" s="5">
        <v>1810.53</v>
      </c>
      <c r="G715" s="13" t="s">
        <v>114</v>
      </c>
      <c r="H715" s="12">
        <f t="shared" si="11"/>
        <v>-1810.53</v>
      </c>
    </row>
    <row r="716" spans="1:8">
      <c r="A716" s="14">
        <v>711</v>
      </c>
      <c r="B716" s="9">
        <v>45869</v>
      </c>
      <c r="C716" s="10" t="s">
        <v>113</v>
      </c>
      <c r="D716" s="10" t="s">
        <v>14</v>
      </c>
      <c r="E716" s="11" t="s">
        <v>64</v>
      </c>
      <c r="F716" s="5">
        <v>1397.78</v>
      </c>
      <c r="G716" s="13" t="s">
        <v>114</v>
      </c>
      <c r="H716" s="12">
        <f t="shared" si="11"/>
        <v>-1397.78</v>
      </c>
    </row>
    <row r="717" spans="1:8">
      <c r="A717" s="14">
        <v>712</v>
      </c>
      <c r="B717" s="9">
        <v>45869</v>
      </c>
      <c r="C717" s="10" t="s">
        <v>113</v>
      </c>
      <c r="D717" s="10" t="s">
        <v>15</v>
      </c>
      <c r="E717" s="11" t="s">
        <v>55</v>
      </c>
      <c r="F717" s="5">
        <v>3959.48</v>
      </c>
      <c r="G717" s="13" t="s">
        <v>114</v>
      </c>
      <c r="H717" s="12">
        <f t="shared" si="11"/>
        <v>-3959.48</v>
      </c>
    </row>
    <row r="718" spans="1:8">
      <c r="A718" s="14">
        <v>713</v>
      </c>
      <c r="B718" s="9">
        <v>45870</v>
      </c>
      <c r="C718" s="10" t="s">
        <v>113</v>
      </c>
      <c r="D718" s="10" t="s">
        <v>16</v>
      </c>
      <c r="E718" s="11" t="s">
        <v>33</v>
      </c>
      <c r="F718" s="5">
        <v>601.72</v>
      </c>
      <c r="G718" s="13" t="s">
        <v>114</v>
      </c>
      <c r="H718" s="12">
        <f t="shared" si="11"/>
        <v>-601.72</v>
      </c>
    </row>
    <row r="719" spans="1:8">
      <c r="A719" s="14">
        <v>714</v>
      </c>
      <c r="B719" s="9">
        <v>45870</v>
      </c>
      <c r="C719" s="10" t="s">
        <v>113</v>
      </c>
      <c r="D719" s="10" t="s">
        <v>14</v>
      </c>
      <c r="E719" s="11" t="s">
        <v>23</v>
      </c>
      <c r="F719" s="5">
        <v>4775.57</v>
      </c>
      <c r="G719" s="13" t="s">
        <v>114</v>
      </c>
      <c r="H719" s="12">
        <f t="shared" si="11"/>
        <v>-4775.57</v>
      </c>
    </row>
    <row r="720" spans="1:8">
      <c r="A720" s="14">
        <v>715</v>
      </c>
      <c r="B720" s="9">
        <v>45870</v>
      </c>
      <c r="C720" s="10" t="s">
        <v>113</v>
      </c>
      <c r="D720" s="10" t="s">
        <v>17</v>
      </c>
      <c r="E720" s="11" t="s">
        <v>54</v>
      </c>
      <c r="F720" s="5">
        <v>709.4</v>
      </c>
      <c r="G720" s="13" t="s">
        <v>114</v>
      </c>
      <c r="H720" s="12">
        <f t="shared" si="11"/>
        <v>-709.4</v>
      </c>
    </row>
    <row r="721" spans="1:8">
      <c r="A721" s="14">
        <v>716</v>
      </c>
      <c r="B721" s="9">
        <v>45870</v>
      </c>
      <c r="C721" s="10" t="s">
        <v>113</v>
      </c>
      <c r="D721" s="10" t="s">
        <v>16</v>
      </c>
      <c r="E721" s="11" t="s">
        <v>28</v>
      </c>
      <c r="F721" s="5">
        <v>5950.73</v>
      </c>
      <c r="G721" s="13" t="s">
        <v>114</v>
      </c>
      <c r="H721" s="12">
        <f t="shared" si="11"/>
        <v>-5950.73</v>
      </c>
    </row>
    <row r="722" spans="1:8">
      <c r="A722" s="14">
        <v>717</v>
      </c>
      <c r="B722" s="9">
        <v>45871</v>
      </c>
      <c r="C722" s="10" t="s">
        <v>113</v>
      </c>
      <c r="D722" s="10" t="s">
        <v>9</v>
      </c>
      <c r="E722" s="11" t="s">
        <v>72</v>
      </c>
      <c r="F722" s="5">
        <v>3324.52</v>
      </c>
      <c r="G722" s="13" t="s">
        <v>114</v>
      </c>
      <c r="H722" s="12">
        <f t="shared" si="11"/>
        <v>-3324.52</v>
      </c>
    </row>
    <row r="723" spans="1:8">
      <c r="A723" s="14">
        <v>718</v>
      </c>
      <c r="B723" s="9">
        <v>45871</v>
      </c>
      <c r="C723" s="10" t="s">
        <v>113</v>
      </c>
      <c r="D723" s="10" t="s">
        <v>15</v>
      </c>
      <c r="E723" s="11" t="s">
        <v>55</v>
      </c>
      <c r="F723" s="5">
        <v>1783.59</v>
      </c>
      <c r="G723" s="13" t="s">
        <v>114</v>
      </c>
      <c r="H723" s="12">
        <f t="shared" si="11"/>
        <v>-1783.59</v>
      </c>
    </row>
    <row r="724" spans="1:8">
      <c r="A724" s="14">
        <v>719</v>
      </c>
      <c r="B724" s="9">
        <v>45872</v>
      </c>
      <c r="C724" s="10" t="s">
        <v>113</v>
      </c>
      <c r="D724" s="10" t="s">
        <v>15</v>
      </c>
      <c r="E724" s="11" t="s">
        <v>43</v>
      </c>
      <c r="F724" s="5">
        <v>1828.41</v>
      </c>
      <c r="G724" s="13" t="s">
        <v>114</v>
      </c>
      <c r="H724" s="12">
        <f t="shared" si="11"/>
        <v>-1828.41</v>
      </c>
    </row>
    <row r="725" spans="1:8">
      <c r="A725" s="14">
        <v>720</v>
      </c>
      <c r="B725" s="9">
        <v>45873</v>
      </c>
      <c r="C725" s="10" t="s">
        <v>113</v>
      </c>
      <c r="D725" s="10" t="s">
        <v>14</v>
      </c>
      <c r="E725" s="11" t="s">
        <v>46</v>
      </c>
      <c r="F725" s="5">
        <v>1566.23</v>
      </c>
      <c r="G725" s="13" t="s">
        <v>114</v>
      </c>
      <c r="H725" s="12">
        <f t="shared" si="11"/>
        <v>-1566.23</v>
      </c>
    </row>
    <row r="726" spans="1:8">
      <c r="A726" s="14">
        <v>721</v>
      </c>
      <c r="B726" s="9">
        <v>45873</v>
      </c>
      <c r="C726" s="10" t="s">
        <v>113</v>
      </c>
      <c r="D726" s="10" t="s">
        <v>9</v>
      </c>
      <c r="E726" s="11" t="s">
        <v>62</v>
      </c>
      <c r="F726" s="5">
        <v>3636.68</v>
      </c>
      <c r="G726" s="13" t="s">
        <v>114</v>
      </c>
      <c r="H726" s="12">
        <f t="shared" si="11"/>
        <v>-3636.68</v>
      </c>
    </row>
    <row r="727" spans="1:8">
      <c r="A727" s="14">
        <v>722</v>
      </c>
      <c r="B727" s="9">
        <v>45873</v>
      </c>
      <c r="C727" s="10" t="s">
        <v>113</v>
      </c>
      <c r="D727" s="10" t="s">
        <v>9</v>
      </c>
      <c r="E727" s="11" t="s">
        <v>44</v>
      </c>
      <c r="F727" s="5">
        <v>1331.42</v>
      </c>
      <c r="G727" s="13" t="s">
        <v>114</v>
      </c>
      <c r="H727" s="12">
        <f t="shared" si="11"/>
        <v>-1331.42</v>
      </c>
    </row>
    <row r="728" spans="1:8">
      <c r="A728" s="14">
        <v>723</v>
      </c>
      <c r="B728" s="9">
        <v>45875</v>
      </c>
      <c r="C728" s="10" t="s">
        <v>113</v>
      </c>
      <c r="D728" s="10" t="s">
        <v>10</v>
      </c>
      <c r="E728" s="11" t="s">
        <v>65</v>
      </c>
      <c r="F728" s="5">
        <v>3118.15</v>
      </c>
      <c r="G728" s="13" t="s">
        <v>114</v>
      </c>
      <c r="H728" s="12">
        <f t="shared" si="11"/>
        <v>-3118.15</v>
      </c>
    </row>
    <row r="729" spans="1:8">
      <c r="A729" s="14">
        <v>724</v>
      </c>
      <c r="B729" s="9">
        <v>45875</v>
      </c>
      <c r="C729" s="10" t="s">
        <v>113</v>
      </c>
      <c r="D729" s="10" t="s">
        <v>10</v>
      </c>
      <c r="E729" s="11" t="s">
        <v>65</v>
      </c>
      <c r="F729" s="5">
        <v>3416.25</v>
      </c>
      <c r="G729" s="13" t="s">
        <v>114</v>
      </c>
      <c r="H729" s="12">
        <f t="shared" si="11"/>
        <v>-3416.25</v>
      </c>
    </row>
    <row r="730" spans="1:8">
      <c r="A730" s="14">
        <v>725</v>
      </c>
      <c r="B730" s="9">
        <v>45875</v>
      </c>
      <c r="C730" s="10" t="s">
        <v>113</v>
      </c>
      <c r="D730" s="10" t="s">
        <v>10</v>
      </c>
      <c r="E730" s="11" t="s">
        <v>30</v>
      </c>
      <c r="F730" s="5">
        <v>4028.23</v>
      </c>
      <c r="G730" s="13" t="s">
        <v>114</v>
      </c>
      <c r="H730" s="12">
        <f t="shared" si="11"/>
        <v>-4028.23</v>
      </c>
    </row>
    <row r="731" spans="1:8">
      <c r="A731" s="14">
        <v>726</v>
      </c>
      <c r="B731" s="9">
        <v>45875</v>
      </c>
      <c r="C731" s="10" t="s">
        <v>113</v>
      </c>
      <c r="D731" s="10" t="s">
        <v>9</v>
      </c>
      <c r="E731" s="11" t="s">
        <v>21</v>
      </c>
      <c r="F731" s="5">
        <v>3782.1</v>
      </c>
      <c r="G731" s="13" t="s">
        <v>114</v>
      </c>
      <c r="H731" s="12">
        <f t="shared" si="11"/>
        <v>-3782.1</v>
      </c>
    </row>
    <row r="732" spans="1:8">
      <c r="A732" s="14">
        <v>727</v>
      </c>
      <c r="B732" s="9">
        <v>45876</v>
      </c>
      <c r="C732" s="10" t="s">
        <v>113</v>
      </c>
      <c r="D732" s="10" t="s">
        <v>10</v>
      </c>
      <c r="E732" s="11" t="s">
        <v>70</v>
      </c>
      <c r="F732" s="5">
        <v>3850.24</v>
      </c>
      <c r="G732" s="13" t="s">
        <v>114</v>
      </c>
      <c r="H732" s="12">
        <f t="shared" si="11"/>
        <v>-3850.24</v>
      </c>
    </row>
    <row r="733" spans="1:8">
      <c r="A733" s="14">
        <v>728</v>
      </c>
      <c r="B733" s="9">
        <v>45876</v>
      </c>
      <c r="C733" s="10" t="s">
        <v>113</v>
      </c>
      <c r="D733" s="10" t="s">
        <v>9</v>
      </c>
      <c r="E733" s="11" t="s">
        <v>21</v>
      </c>
      <c r="F733" s="5">
        <v>3113.31</v>
      </c>
      <c r="G733" s="13" t="s">
        <v>114</v>
      </c>
      <c r="H733" s="12">
        <f t="shared" si="11"/>
        <v>-3113.31</v>
      </c>
    </row>
    <row r="734" spans="1:8">
      <c r="A734" s="14">
        <v>729</v>
      </c>
      <c r="B734" s="9">
        <v>45876</v>
      </c>
      <c r="C734" s="10" t="s">
        <v>113</v>
      </c>
      <c r="D734" s="10" t="s">
        <v>10</v>
      </c>
      <c r="E734" s="11" t="s">
        <v>65</v>
      </c>
      <c r="F734" s="5">
        <v>4311.66</v>
      </c>
      <c r="G734" s="13" t="s">
        <v>114</v>
      </c>
      <c r="H734" s="12">
        <f t="shared" si="11"/>
        <v>-4311.66</v>
      </c>
    </row>
    <row r="735" spans="1:8">
      <c r="A735" s="14">
        <v>730</v>
      </c>
      <c r="B735" s="9">
        <v>45876</v>
      </c>
      <c r="C735" s="10" t="s">
        <v>113</v>
      </c>
      <c r="D735" s="10" t="s">
        <v>17</v>
      </c>
      <c r="E735" s="11" t="s">
        <v>36</v>
      </c>
      <c r="F735" s="5">
        <v>570.08000000000004</v>
      </c>
      <c r="G735" s="13" t="s">
        <v>114</v>
      </c>
      <c r="H735" s="12">
        <f t="shared" si="11"/>
        <v>-570.08000000000004</v>
      </c>
    </row>
    <row r="736" spans="1:8">
      <c r="A736" s="14">
        <v>731</v>
      </c>
      <c r="B736" s="9">
        <v>45877</v>
      </c>
      <c r="C736" s="10" t="s">
        <v>113</v>
      </c>
      <c r="D736" s="10" t="s">
        <v>16</v>
      </c>
      <c r="E736" s="11" t="s">
        <v>63</v>
      </c>
      <c r="F736" s="5">
        <v>3102.76</v>
      </c>
      <c r="G736" s="13" t="s">
        <v>114</v>
      </c>
      <c r="H736" s="12">
        <f t="shared" si="11"/>
        <v>-3102.76</v>
      </c>
    </row>
    <row r="737" spans="1:8">
      <c r="A737" s="14">
        <v>732</v>
      </c>
      <c r="B737" s="9">
        <v>45877</v>
      </c>
      <c r="C737" s="10" t="s">
        <v>113</v>
      </c>
      <c r="D737" s="10" t="s">
        <v>16</v>
      </c>
      <c r="E737" s="11" t="s">
        <v>63</v>
      </c>
      <c r="F737" s="5">
        <v>1238.48</v>
      </c>
      <c r="G737" s="13" t="s">
        <v>114</v>
      </c>
      <c r="H737" s="12">
        <f t="shared" si="11"/>
        <v>-1238.48</v>
      </c>
    </row>
    <row r="738" spans="1:8">
      <c r="A738" s="14">
        <v>733</v>
      </c>
      <c r="B738" s="9">
        <v>45879</v>
      </c>
      <c r="C738" s="10" t="s">
        <v>113</v>
      </c>
      <c r="D738" s="10" t="s">
        <v>16</v>
      </c>
      <c r="E738" s="11" t="s">
        <v>73</v>
      </c>
      <c r="F738" s="5">
        <v>911.01</v>
      </c>
      <c r="G738" s="13" t="s">
        <v>114</v>
      </c>
      <c r="H738" s="12">
        <f t="shared" si="11"/>
        <v>-911.01</v>
      </c>
    </row>
    <row r="739" spans="1:8">
      <c r="A739" s="14">
        <v>734</v>
      </c>
      <c r="B739" s="9">
        <v>45880</v>
      </c>
      <c r="C739" s="10" t="s">
        <v>113</v>
      </c>
      <c r="D739" s="10" t="s">
        <v>10</v>
      </c>
      <c r="E739" s="11" t="s">
        <v>59</v>
      </c>
      <c r="F739" s="5">
        <v>4845.68</v>
      </c>
      <c r="G739" s="13" t="s">
        <v>114</v>
      </c>
      <c r="H739" s="12">
        <f t="shared" si="11"/>
        <v>-4845.68</v>
      </c>
    </row>
    <row r="740" spans="1:8">
      <c r="A740" s="14">
        <v>735</v>
      </c>
      <c r="B740" s="9">
        <v>45880</v>
      </c>
      <c r="C740" s="10" t="s">
        <v>113</v>
      </c>
      <c r="D740" s="10" t="s">
        <v>14</v>
      </c>
      <c r="E740" s="11" t="s">
        <v>46</v>
      </c>
      <c r="F740" s="5">
        <v>1079.44</v>
      </c>
      <c r="G740" s="13" t="s">
        <v>114</v>
      </c>
      <c r="H740" s="12">
        <f t="shared" si="11"/>
        <v>-1079.44</v>
      </c>
    </row>
    <row r="741" spans="1:8">
      <c r="A741" s="14">
        <v>736</v>
      </c>
      <c r="B741" s="9">
        <v>45880</v>
      </c>
      <c r="C741" s="10" t="s">
        <v>113</v>
      </c>
      <c r="D741" s="10" t="s">
        <v>10</v>
      </c>
      <c r="E741" s="11" t="s">
        <v>65</v>
      </c>
      <c r="F741" s="5">
        <v>4758.96</v>
      </c>
      <c r="G741" s="13" t="s">
        <v>114</v>
      </c>
      <c r="H741" s="12">
        <f t="shared" si="11"/>
        <v>-4758.96</v>
      </c>
    </row>
    <row r="742" spans="1:8">
      <c r="A742" s="14">
        <v>737</v>
      </c>
      <c r="B742" s="9">
        <v>45880</v>
      </c>
      <c r="C742" s="10" t="s">
        <v>113</v>
      </c>
      <c r="D742" s="10" t="s">
        <v>14</v>
      </c>
      <c r="E742" s="11" t="s">
        <v>64</v>
      </c>
      <c r="F742" s="5">
        <v>3823.58</v>
      </c>
      <c r="G742" s="13" t="s">
        <v>114</v>
      </c>
      <c r="H742" s="12">
        <f t="shared" si="11"/>
        <v>-3823.58</v>
      </c>
    </row>
    <row r="743" spans="1:8">
      <c r="A743" s="14">
        <v>738</v>
      </c>
      <c r="B743" s="9">
        <v>45880</v>
      </c>
      <c r="C743" s="10" t="s">
        <v>113</v>
      </c>
      <c r="D743" s="10" t="s">
        <v>10</v>
      </c>
      <c r="E743" s="11" t="s">
        <v>53</v>
      </c>
      <c r="F743" s="5">
        <v>2668.27</v>
      </c>
      <c r="G743" s="13" t="s">
        <v>114</v>
      </c>
      <c r="H743" s="12">
        <f t="shared" si="11"/>
        <v>-2668.27</v>
      </c>
    </row>
    <row r="744" spans="1:8">
      <c r="A744" s="14">
        <v>739</v>
      </c>
      <c r="B744" s="9">
        <v>45881</v>
      </c>
      <c r="C744" s="10" t="s">
        <v>113</v>
      </c>
      <c r="D744" s="10" t="s">
        <v>16</v>
      </c>
      <c r="E744" s="11" t="s">
        <v>57</v>
      </c>
      <c r="F744" s="5">
        <v>1255.33</v>
      </c>
      <c r="G744" s="13" t="s">
        <v>114</v>
      </c>
      <c r="H744" s="12">
        <f t="shared" si="11"/>
        <v>-1255.33</v>
      </c>
    </row>
    <row r="745" spans="1:8">
      <c r="A745" s="14">
        <v>740</v>
      </c>
      <c r="B745" s="9">
        <v>45881</v>
      </c>
      <c r="C745" s="10" t="s">
        <v>113</v>
      </c>
      <c r="D745" s="10" t="s">
        <v>14</v>
      </c>
      <c r="E745" s="11" t="s">
        <v>34</v>
      </c>
      <c r="F745" s="5">
        <v>3265.07</v>
      </c>
      <c r="G745" s="13" t="s">
        <v>114</v>
      </c>
      <c r="H745" s="12">
        <f t="shared" si="11"/>
        <v>-3265.07</v>
      </c>
    </row>
    <row r="746" spans="1:8">
      <c r="A746" s="14">
        <v>741</v>
      </c>
      <c r="B746" s="9">
        <v>45881</v>
      </c>
      <c r="C746" s="10" t="s">
        <v>113</v>
      </c>
      <c r="D746" s="10" t="s">
        <v>10</v>
      </c>
      <c r="E746" s="11" t="s">
        <v>30</v>
      </c>
      <c r="F746" s="5">
        <v>4270.3100000000004</v>
      </c>
      <c r="G746" s="13" t="s">
        <v>114</v>
      </c>
      <c r="H746" s="12">
        <f t="shared" si="11"/>
        <v>-4270.3100000000004</v>
      </c>
    </row>
    <row r="747" spans="1:8">
      <c r="A747" s="14">
        <v>742</v>
      </c>
      <c r="B747" s="9">
        <v>45881</v>
      </c>
      <c r="C747" s="10" t="s">
        <v>113</v>
      </c>
      <c r="D747" s="10" t="s">
        <v>9</v>
      </c>
      <c r="E747" s="11" t="s">
        <v>50</v>
      </c>
      <c r="F747" s="5">
        <v>1872.9</v>
      </c>
      <c r="G747" s="13" t="s">
        <v>114</v>
      </c>
      <c r="H747" s="12">
        <f t="shared" si="11"/>
        <v>-1872.9</v>
      </c>
    </row>
    <row r="748" spans="1:8">
      <c r="A748" s="14">
        <v>743</v>
      </c>
      <c r="B748" s="9">
        <v>45883</v>
      </c>
      <c r="C748" s="10" t="s">
        <v>113</v>
      </c>
      <c r="D748" s="10" t="s">
        <v>10</v>
      </c>
      <c r="E748" s="11" t="s">
        <v>70</v>
      </c>
      <c r="F748" s="5">
        <v>3698.2</v>
      </c>
      <c r="G748" s="13" t="s">
        <v>114</v>
      </c>
      <c r="H748" s="12">
        <f t="shared" si="11"/>
        <v>-3698.2</v>
      </c>
    </row>
    <row r="749" spans="1:8">
      <c r="A749" s="14">
        <v>744</v>
      </c>
      <c r="B749" s="9">
        <v>45883</v>
      </c>
      <c r="C749" s="10" t="s">
        <v>113</v>
      </c>
      <c r="D749" s="10" t="s">
        <v>16</v>
      </c>
      <c r="E749" s="11" t="s">
        <v>33</v>
      </c>
      <c r="F749" s="5">
        <v>1257.72</v>
      </c>
      <c r="G749" s="13" t="s">
        <v>114</v>
      </c>
      <c r="H749" s="12">
        <f t="shared" si="11"/>
        <v>-1257.72</v>
      </c>
    </row>
    <row r="750" spans="1:8">
      <c r="A750" s="14">
        <v>745</v>
      </c>
      <c r="B750" s="9">
        <v>45883</v>
      </c>
      <c r="C750" s="10" t="s">
        <v>113</v>
      </c>
      <c r="D750" s="10" t="s">
        <v>16</v>
      </c>
      <c r="E750" s="11" t="s">
        <v>73</v>
      </c>
      <c r="F750" s="5">
        <v>1789.15</v>
      </c>
      <c r="G750" s="13" t="s">
        <v>114</v>
      </c>
      <c r="H750" s="12">
        <f t="shared" si="11"/>
        <v>-1789.15</v>
      </c>
    </row>
    <row r="751" spans="1:8">
      <c r="A751" s="14">
        <v>746</v>
      </c>
      <c r="B751" s="9">
        <v>45883</v>
      </c>
      <c r="C751" s="10" t="s">
        <v>113</v>
      </c>
      <c r="D751" s="10" t="s">
        <v>14</v>
      </c>
      <c r="E751" s="11" t="s">
        <v>69</v>
      </c>
      <c r="F751" s="5">
        <v>4131.24</v>
      </c>
      <c r="G751" s="13" t="s">
        <v>114</v>
      </c>
      <c r="H751" s="12">
        <f t="shared" si="11"/>
        <v>-4131.24</v>
      </c>
    </row>
    <row r="752" spans="1:8">
      <c r="A752" s="14">
        <v>747</v>
      </c>
      <c r="B752" s="9">
        <v>45884</v>
      </c>
      <c r="C752" s="10" t="s">
        <v>113</v>
      </c>
      <c r="D752" s="10" t="s">
        <v>15</v>
      </c>
      <c r="E752" s="11" t="s">
        <v>26</v>
      </c>
      <c r="F752" s="5">
        <v>4607.72</v>
      </c>
      <c r="G752" s="13" t="s">
        <v>114</v>
      </c>
      <c r="H752" s="12">
        <f t="shared" si="11"/>
        <v>-4607.72</v>
      </c>
    </row>
    <row r="753" spans="1:8">
      <c r="A753" s="14">
        <v>748</v>
      </c>
      <c r="B753" s="9">
        <v>45885</v>
      </c>
      <c r="C753" s="10" t="s">
        <v>113</v>
      </c>
      <c r="D753" s="10" t="s">
        <v>15</v>
      </c>
      <c r="E753" s="11" t="s">
        <v>7</v>
      </c>
      <c r="F753" s="5">
        <v>1151.1199999999999</v>
      </c>
      <c r="G753" s="13" t="s">
        <v>114</v>
      </c>
      <c r="H753" s="12">
        <f t="shared" si="11"/>
        <v>-1151.1199999999999</v>
      </c>
    </row>
    <row r="754" spans="1:8">
      <c r="A754" s="14">
        <v>749</v>
      </c>
      <c r="B754" s="9">
        <v>45885</v>
      </c>
      <c r="C754" s="10" t="s">
        <v>113</v>
      </c>
      <c r="D754" s="10" t="s">
        <v>16</v>
      </c>
      <c r="E754" s="11" t="s">
        <v>51</v>
      </c>
      <c r="F754" s="5">
        <v>304.94</v>
      </c>
      <c r="G754" s="13" t="s">
        <v>114</v>
      </c>
      <c r="H754" s="12">
        <f t="shared" si="11"/>
        <v>-304.94</v>
      </c>
    </row>
    <row r="755" spans="1:8">
      <c r="A755" s="14">
        <v>750</v>
      </c>
      <c r="B755" s="9">
        <v>45885</v>
      </c>
      <c r="C755" s="10" t="s">
        <v>113</v>
      </c>
      <c r="D755" s="10" t="s">
        <v>10</v>
      </c>
      <c r="E755" s="11" t="s">
        <v>19</v>
      </c>
      <c r="F755" s="5">
        <v>17198.27</v>
      </c>
      <c r="G755" s="13" t="s">
        <v>114</v>
      </c>
      <c r="H755" s="12">
        <f t="shared" si="11"/>
        <v>-17198.27</v>
      </c>
    </row>
    <row r="756" spans="1:8">
      <c r="A756" s="14">
        <v>751</v>
      </c>
      <c r="B756" s="9">
        <v>45885</v>
      </c>
      <c r="C756" s="10" t="s">
        <v>113</v>
      </c>
      <c r="D756" s="10" t="s">
        <v>16</v>
      </c>
      <c r="E756" s="11" t="s">
        <v>63</v>
      </c>
      <c r="F756" s="5">
        <v>1708.12</v>
      </c>
      <c r="G756" s="13" t="s">
        <v>114</v>
      </c>
      <c r="H756" s="12">
        <f t="shared" si="11"/>
        <v>-1708.12</v>
      </c>
    </row>
    <row r="757" spans="1:8">
      <c r="A757" s="14">
        <v>752</v>
      </c>
      <c r="B757" s="9">
        <v>45886</v>
      </c>
      <c r="C757" s="10" t="s">
        <v>113</v>
      </c>
      <c r="D757" s="10" t="s">
        <v>10</v>
      </c>
      <c r="E757" s="11" t="s">
        <v>65</v>
      </c>
      <c r="F757" s="5">
        <v>2577.85</v>
      </c>
      <c r="G757" s="13" t="s">
        <v>114</v>
      </c>
      <c r="H757" s="12">
        <f t="shared" si="11"/>
        <v>-2577.85</v>
      </c>
    </row>
    <row r="758" spans="1:8">
      <c r="A758" s="14">
        <v>753</v>
      </c>
      <c r="B758" s="9">
        <v>45886</v>
      </c>
      <c r="C758" s="10" t="s">
        <v>113</v>
      </c>
      <c r="D758" s="10" t="s">
        <v>9</v>
      </c>
      <c r="E758" s="11" t="s">
        <v>27</v>
      </c>
      <c r="F758" s="5">
        <v>1543.24</v>
      </c>
      <c r="G758" s="13" t="s">
        <v>114</v>
      </c>
      <c r="H758" s="12">
        <f t="shared" si="11"/>
        <v>-1543.24</v>
      </c>
    </row>
    <row r="759" spans="1:8">
      <c r="A759" s="14">
        <v>754</v>
      </c>
      <c r="B759" s="9">
        <v>45886</v>
      </c>
      <c r="C759" s="10" t="s">
        <v>113</v>
      </c>
      <c r="D759" s="10" t="s">
        <v>10</v>
      </c>
      <c r="E759" s="11" t="s">
        <v>30</v>
      </c>
      <c r="F759" s="5">
        <v>4750.57</v>
      </c>
      <c r="G759" s="13" t="s">
        <v>114</v>
      </c>
      <c r="H759" s="12">
        <f t="shared" si="11"/>
        <v>-4750.57</v>
      </c>
    </row>
    <row r="760" spans="1:8">
      <c r="A760" s="14">
        <v>755</v>
      </c>
      <c r="B760" s="9">
        <v>45886</v>
      </c>
      <c r="C760" s="10" t="s">
        <v>113</v>
      </c>
      <c r="D760" s="10" t="s">
        <v>14</v>
      </c>
      <c r="E760" s="11" t="s">
        <v>69</v>
      </c>
      <c r="F760" s="5">
        <v>3347.28</v>
      </c>
      <c r="G760" s="13" t="s">
        <v>114</v>
      </c>
      <c r="H760" s="12">
        <f t="shared" si="11"/>
        <v>-3347.28</v>
      </c>
    </row>
    <row r="761" spans="1:8">
      <c r="A761" s="14">
        <v>756</v>
      </c>
      <c r="B761" s="9">
        <v>45886</v>
      </c>
      <c r="C761" s="10" t="s">
        <v>113</v>
      </c>
      <c r="D761" s="10" t="s">
        <v>10</v>
      </c>
      <c r="E761" s="11" t="s">
        <v>24</v>
      </c>
      <c r="F761" s="5">
        <v>6454.69</v>
      </c>
      <c r="G761" s="13" t="s">
        <v>114</v>
      </c>
      <c r="H761" s="12">
        <f t="shared" si="11"/>
        <v>-6454.69</v>
      </c>
    </row>
    <row r="762" spans="1:8">
      <c r="A762" s="14">
        <v>757</v>
      </c>
      <c r="B762" s="9">
        <v>45887</v>
      </c>
      <c r="C762" s="10" t="s">
        <v>113</v>
      </c>
      <c r="D762" s="10" t="s">
        <v>17</v>
      </c>
      <c r="E762" s="11" t="s">
        <v>54</v>
      </c>
      <c r="F762" s="5">
        <v>3249.44</v>
      </c>
      <c r="G762" s="13" t="s">
        <v>114</v>
      </c>
      <c r="H762" s="12">
        <f t="shared" si="11"/>
        <v>-3249.44</v>
      </c>
    </row>
    <row r="763" spans="1:8">
      <c r="A763" s="14">
        <v>758</v>
      </c>
      <c r="B763" s="9">
        <v>45887</v>
      </c>
      <c r="C763" s="10" t="s">
        <v>113</v>
      </c>
      <c r="D763" s="10" t="s">
        <v>15</v>
      </c>
      <c r="E763" s="11" t="s">
        <v>7</v>
      </c>
      <c r="F763" s="5">
        <v>1223.51</v>
      </c>
      <c r="G763" s="13" t="s">
        <v>114</v>
      </c>
      <c r="H763" s="12">
        <f t="shared" si="11"/>
        <v>-1223.51</v>
      </c>
    </row>
    <row r="764" spans="1:8">
      <c r="A764" s="14">
        <v>759</v>
      </c>
      <c r="B764" s="9">
        <v>45888</v>
      </c>
      <c r="C764" s="10" t="s">
        <v>113</v>
      </c>
      <c r="D764" s="10" t="s">
        <v>16</v>
      </c>
      <c r="E764" s="11" t="s">
        <v>28</v>
      </c>
      <c r="F764" s="5">
        <v>1549.72</v>
      </c>
      <c r="G764" s="13" t="s">
        <v>114</v>
      </c>
      <c r="H764" s="12">
        <f t="shared" si="11"/>
        <v>-1549.72</v>
      </c>
    </row>
    <row r="765" spans="1:8">
      <c r="A765" s="14">
        <v>760</v>
      </c>
      <c r="B765" s="9">
        <v>45888</v>
      </c>
      <c r="C765" s="10" t="s">
        <v>113</v>
      </c>
      <c r="D765" s="10" t="s">
        <v>9</v>
      </c>
      <c r="E765" s="11" t="s">
        <v>21</v>
      </c>
      <c r="F765" s="5">
        <v>4377.4399999999996</v>
      </c>
      <c r="G765" s="13" t="s">
        <v>114</v>
      </c>
      <c r="H765" s="12">
        <f t="shared" si="11"/>
        <v>-4377.4399999999996</v>
      </c>
    </row>
    <row r="766" spans="1:8">
      <c r="A766" s="14">
        <v>761</v>
      </c>
      <c r="B766" s="9">
        <v>45889</v>
      </c>
      <c r="C766" s="10" t="s">
        <v>113</v>
      </c>
      <c r="D766" s="10" t="s">
        <v>14</v>
      </c>
      <c r="E766" s="11" t="s">
        <v>29</v>
      </c>
      <c r="F766" s="5">
        <v>2286.7800000000002</v>
      </c>
      <c r="G766" s="13" t="s">
        <v>114</v>
      </c>
      <c r="H766" s="12">
        <f t="shared" si="11"/>
        <v>-2286.7800000000002</v>
      </c>
    </row>
    <row r="767" spans="1:8">
      <c r="A767" s="14">
        <v>762</v>
      </c>
      <c r="B767" s="9">
        <v>45889</v>
      </c>
      <c r="C767" s="10" t="s">
        <v>113</v>
      </c>
      <c r="D767" s="10" t="s">
        <v>17</v>
      </c>
      <c r="E767" s="11" t="s">
        <v>54</v>
      </c>
      <c r="F767" s="5">
        <v>2941.19</v>
      </c>
      <c r="G767" s="13" t="s">
        <v>114</v>
      </c>
      <c r="H767" s="12">
        <f t="shared" si="11"/>
        <v>-2941.19</v>
      </c>
    </row>
    <row r="768" spans="1:8">
      <c r="A768" s="14">
        <v>763</v>
      </c>
      <c r="B768" s="9">
        <v>45890</v>
      </c>
      <c r="C768" s="10" t="s">
        <v>113</v>
      </c>
      <c r="D768" s="10" t="s">
        <v>16</v>
      </c>
      <c r="E768" s="11" t="s">
        <v>33</v>
      </c>
      <c r="F768" s="5">
        <v>925.33</v>
      </c>
      <c r="G768" s="13" t="s">
        <v>114</v>
      </c>
      <c r="H768" s="12">
        <f t="shared" si="11"/>
        <v>-925.33</v>
      </c>
    </row>
    <row r="769" spans="1:8">
      <c r="A769" s="14">
        <v>764</v>
      </c>
      <c r="B769" s="9">
        <v>45890</v>
      </c>
      <c r="C769" s="10" t="s">
        <v>113</v>
      </c>
      <c r="D769" s="10" t="s">
        <v>10</v>
      </c>
      <c r="E769" s="11" t="s">
        <v>65</v>
      </c>
      <c r="F769" s="5">
        <v>2641.93</v>
      </c>
      <c r="G769" s="13" t="s">
        <v>114</v>
      </c>
      <c r="H769" s="12">
        <f t="shared" si="11"/>
        <v>-2641.93</v>
      </c>
    </row>
    <row r="770" spans="1:8">
      <c r="A770" s="14">
        <v>765</v>
      </c>
      <c r="B770" s="9">
        <v>45890</v>
      </c>
      <c r="C770" s="10" t="s">
        <v>113</v>
      </c>
      <c r="D770" s="10" t="s">
        <v>15</v>
      </c>
      <c r="E770" s="11" t="s">
        <v>61</v>
      </c>
      <c r="F770" s="5">
        <v>2536.67</v>
      </c>
      <c r="G770" s="13" t="s">
        <v>114</v>
      </c>
      <c r="H770" s="12">
        <f t="shared" si="11"/>
        <v>-2536.67</v>
      </c>
    </row>
    <row r="771" spans="1:8">
      <c r="A771" s="14">
        <v>766</v>
      </c>
      <c r="B771" s="9">
        <v>45890</v>
      </c>
      <c r="C771" s="10" t="s">
        <v>113</v>
      </c>
      <c r="D771" s="10" t="s">
        <v>15</v>
      </c>
      <c r="E771" s="11" t="s">
        <v>55</v>
      </c>
      <c r="F771" s="5">
        <v>2504.35</v>
      </c>
      <c r="G771" s="13" t="s">
        <v>114</v>
      </c>
      <c r="H771" s="12">
        <f t="shared" si="11"/>
        <v>-2504.35</v>
      </c>
    </row>
    <row r="772" spans="1:8">
      <c r="A772" s="14">
        <v>767</v>
      </c>
      <c r="B772" s="9">
        <v>45891</v>
      </c>
      <c r="C772" s="10" t="s">
        <v>113</v>
      </c>
      <c r="D772" s="10" t="s">
        <v>14</v>
      </c>
      <c r="E772" s="11" t="s">
        <v>40</v>
      </c>
      <c r="F772" s="5">
        <v>4888.66</v>
      </c>
      <c r="G772" s="13" t="s">
        <v>114</v>
      </c>
      <c r="H772" s="12">
        <f t="shared" si="11"/>
        <v>-4888.66</v>
      </c>
    </row>
    <row r="773" spans="1:8">
      <c r="A773" s="14">
        <v>768</v>
      </c>
      <c r="B773" s="9">
        <v>45891</v>
      </c>
      <c r="C773" s="10" t="s">
        <v>113</v>
      </c>
      <c r="D773" s="10" t="s">
        <v>15</v>
      </c>
      <c r="E773" s="11" t="s">
        <v>66</v>
      </c>
      <c r="F773" s="5">
        <v>15884.99</v>
      </c>
      <c r="G773" s="13" t="s">
        <v>114</v>
      </c>
      <c r="H773" s="12">
        <f t="shared" ref="H773:H836" si="12">IF(C773="Despesa", F773*-1, F773)</f>
        <v>-15884.99</v>
      </c>
    </row>
    <row r="774" spans="1:8">
      <c r="A774" s="14">
        <v>769</v>
      </c>
      <c r="B774" s="9">
        <v>45892</v>
      </c>
      <c r="C774" s="10" t="s">
        <v>113</v>
      </c>
      <c r="D774" s="10" t="s">
        <v>10</v>
      </c>
      <c r="E774" s="11" t="s">
        <v>70</v>
      </c>
      <c r="F774" s="5">
        <v>2657.43</v>
      </c>
      <c r="G774" s="13" t="s">
        <v>114</v>
      </c>
      <c r="H774" s="12">
        <f t="shared" si="12"/>
        <v>-2657.43</v>
      </c>
    </row>
    <row r="775" spans="1:8">
      <c r="A775" s="14">
        <v>770</v>
      </c>
      <c r="B775" s="9">
        <v>45892</v>
      </c>
      <c r="C775" s="10" t="s">
        <v>113</v>
      </c>
      <c r="D775" s="10" t="s">
        <v>16</v>
      </c>
      <c r="E775" s="11" t="s">
        <v>33</v>
      </c>
      <c r="F775" s="5">
        <v>546.4</v>
      </c>
      <c r="G775" s="13" t="s">
        <v>114</v>
      </c>
      <c r="H775" s="12">
        <f t="shared" si="12"/>
        <v>-546.4</v>
      </c>
    </row>
    <row r="776" spans="1:8">
      <c r="A776" s="14">
        <v>771</v>
      </c>
      <c r="B776" s="9">
        <v>45893</v>
      </c>
      <c r="C776" s="10" t="s">
        <v>113</v>
      </c>
      <c r="D776" s="10" t="s">
        <v>16</v>
      </c>
      <c r="E776" s="11" t="s">
        <v>22</v>
      </c>
      <c r="F776" s="5">
        <v>2802</v>
      </c>
      <c r="G776" s="13" t="s">
        <v>114</v>
      </c>
      <c r="H776" s="12">
        <f t="shared" si="12"/>
        <v>-2802</v>
      </c>
    </row>
    <row r="777" spans="1:8">
      <c r="A777" s="14">
        <v>772</v>
      </c>
      <c r="B777" s="9">
        <v>45893</v>
      </c>
      <c r="C777" s="10" t="s">
        <v>113</v>
      </c>
      <c r="D777" s="10" t="s">
        <v>9</v>
      </c>
      <c r="E777" s="11" t="s">
        <v>62</v>
      </c>
      <c r="F777" s="5">
        <v>3720.12</v>
      </c>
      <c r="G777" s="13" t="s">
        <v>114</v>
      </c>
      <c r="H777" s="12">
        <f t="shared" si="12"/>
        <v>-3720.12</v>
      </c>
    </row>
    <row r="778" spans="1:8">
      <c r="A778" s="14">
        <v>773</v>
      </c>
      <c r="B778" s="9">
        <v>45893</v>
      </c>
      <c r="C778" s="10" t="s">
        <v>113</v>
      </c>
      <c r="D778" s="10" t="s">
        <v>10</v>
      </c>
      <c r="E778" s="11" t="s">
        <v>30</v>
      </c>
      <c r="F778" s="5">
        <v>3118.6</v>
      </c>
      <c r="G778" s="13" t="s">
        <v>114</v>
      </c>
      <c r="H778" s="12">
        <f t="shared" si="12"/>
        <v>-3118.6</v>
      </c>
    </row>
    <row r="779" spans="1:8">
      <c r="A779" s="14">
        <v>774</v>
      </c>
      <c r="B779" s="9">
        <v>45894</v>
      </c>
      <c r="C779" s="10" t="s">
        <v>113</v>
      </c>
      <c r="D779" s="10" t="s">
        <v>14</v>
      </c>
      <c r="E779" s="11" t="s">
        <v>23</v>
      </c>
      <c r="F779" s="5">
        <v>5729.34</v>
      </c>
      <c r="G779" s="13" t="s">
        <v>114</v>
      </c>
      <c r="H779" s="12">
        <f t="shared" si="12"/>
        <v>-5729.34</v>
      </c>
    </row>
    <row r="780" spans="1:8">
      <c r="A780" s="14">
        <v>775</v>
      </c>
      <c r="B780" s="9">
        <v>45894</v>
      </c>
      <c r="C780" s="10" t="s">
        <v>113</v>
      </c>
      <c r="D780" s="10" t="s">
        <v>17</v>
      </c>
      <c r="E780" s="11" t="s">
        <v>42</v>
      </c>
      <c r="F780" s="5">
        <v>203.51</v>
      </c>
      <c r="G780" s="13" t="s">
        <v>114</v>
      </c>
      <c r="H780" s="12">
        <f t="shared" si="12"/>
        <v>-203.51</v>
      </c>
    </row>
    <row r="781" spans="1:8">
      <c r="A781" s="14">
        <v>776</v>
      </c>
      <c r="B781" s="9">
        <v>45894</v>
      </c>
      <c r="C781" s="10" t="s">
        <v>113</v>
      </c>
      <c r="D781" s="10" t="s">
        <v>9</v>
      </c>
      <c r="E781" s="11" t="s">
        <v>21</v>
      </c>
      <c r="F781" s="5">
        <v>2511.3200000000002</v>
      </c>
      <c r="G781" s="13" t="s">
        <v>114</v>
      </c>
      <c r="H781" s="12">
        <f t="shared" si="12"/>
        <v>-2511.3200000000002</v>
      </c>
    </row>
    <row r="782" spans="1:8">
      <c r="A782" s="14">
        <v>777</v>
      </c>
      <c r="B782" s="9">
        <v>45895</v>
      </c>
      <c r="C782" s="10" t="s">
        <v>113</v>
      </c>
      <c r="D782" s="10" t="s">
        <v>10</v>
      </c>
      <c r="E782" s="11" t="s">
        <v>24</v>
      </c>
      <c r="F782" s="5">
        <v>6266.26</v>
      </c>
      <c r="G782" s="13" t="s">
        <v>114</v>
      </c>
      <c r="H782" s="12">
        <f t="shared" si="12"/>
        <v>-6266.26</v>
      </c>
    </row>
    <row r="783" spans="1:8">
      <c r="A783" s="14">
        <v>778</v>
      </c>
      <c r="B783" s="9">
        <v>45895</v>
      </c>
      <c r="C783" s="10" t="s">
        <v>113</v>
      </c>
      <c r="D783" s="10" t="s">
        <v>15</v>
      </c>
      <c r="E783" s="11" t="s">
        <v>49</v>
      </c>
      <c r="F783" s="5">
        <v>1018.78</v>
      </c>
      <c r="G783" s="13" t="s">
        <v>114</v>
      </c>
      <c r="H783" s="12">
        <f t="shared" si="12"/>
        <v>-1018.78</v>
      </c>
    </row>
    <row r="784" spans="1:8">
      <c r="A784" s="14">
        <v>779</v>
      </c>
      <c r="B784" s="9">
        <v>45895</v>
      </c>
      <c r="C784" s="10" t="s">
        <v>113</v>
      </c>
      <c r="D784" s="10" t="s">
        <v>10</v>
      </c>
      <c r="E784" s="11" t="s">
        <v>65</v>
      </c>
      <c r="F784" s="5">
        <v>2125.35</v>
      </c>
      <c r="G784" s="13" t="s">
        <v>114</v>
      </c>
      <c r="H784" s="12">
        <f t="shared" si="12"/>
        <v>-2125.35</v>
      </c>
    </row>
    <row r="785" spans="1:8">
      <c r="A785" s="14">
        <v>780</v>
      </c>
      <c r="B785" s="9">
        <v>45895</v>
      </c>
      <c r="C785" s="10" t="s">
        <v>113</v>
      </c>
      <c r="D785" s="10" t="s">
        <v>15</v>
      </c>
      <c r="E785" s="11" t="s">
        <v>71</v>
      </c>
      <c r="F785" s="5">
        <v>1821.45</v>
      </c>
      <c r="G785" s="13" t="s">
        <v>114</v>
      </c>
      <c r="H785" s="12">
        <f t="shared" si="12"/>
        <v>-1821.45</v>
      </c>
    </row>
    <row r="786" spans="1:8">
      <c r="A786" s="14">
        <v>781</v>
      </c>
      <c r="B786" s="9">
        <v>45896</v>
      </c>
      <c r="C786" s="10" t="s">
        <v>113</v>
      </c>
      <c r="D786" s="10" t="s">
        <v>10</v>
      </c>
      <c r="E786" s="11" t="s">
        <v>41</v>
      </c>
      <c r="F786" s="5">
        <v>8005.15</v>
      </c>
      <c r="G786" s="13" t="s">
        <v>114</v>
      </c>
      <c r="H786" s="12">
        <f t="shared" si="12"/>
        <v>-8005.15</v>
      </c>
    </row>
    <row r="787" spans="1:8">
      <c r="A787" s="14">
        <v>782</v>
      </c>
      <c r="B787" s="9">
        <v>45896</v>
      </c>
      <c r="C787" s="10" t="s">
        <v>113</v>
      </c>
      <c r="D787" s="10" t="s">
        <v>17</v>
      </c>
      <c r="E787" s="11" t="s">
        <v>25</v>
      </c>
      <c r="F787" s="5">
        <v>1754.12</v>
      </c>
      <c r="G787" s="13" t="s">
        <v>114</v>
      </c>
      <c r="H787" s="12">
        <f t="shared" si="12"/>
        <v>-1754.12</v>
      </c>
    </row>
    <row r="788" spans="1:8">
      <c r="A788" s="14">
        <v>783</v>
      </c>
      <c r="B788" s="9">
        <v>45896</v>
      </c>
      <c r="C788" s="10" t="s">
        <v>113</v>
      </c>
      <c r="D788" s="10" t="s">
        <v>16</v>
      </c>
      <c r="E788" s="11" t="s">
        <v>39</v>
      </c>
      <c r="F788" s="5">
        <v>677.51</v>
      </c>
      <c r="G788" s="13" t="s">
        <v>114</v>
      </c>
      <c r="H788" s="12">
        <f t="shared" si="12"/>
        <v>-677.51</v>
      </c>
    </row>
    <row r="789" spans="1:8">
      <c r="A789" s="14">
        <v>784</v>
      </c>
      <c r="B789" s="9">
        <v>45896</v>
      </c>
      <c r="C789" s="10" t="s">
        <v>113</v>
      </c>
      <c r="D789" s="10" t="s">
        <v>10</v>
      </c>
      <c r="E789" s="11" t="s">
        <v>65</v>
      </c>
      <c r="F789" s="5">
        <v>4463.4799999999996</v>
      </c>
      <c r="G789" s="13" t="s">
        <v>114</v>
      </c>
      <c r="H789" s="12">
        <f t="shared" si="12"/>
        <v>-4463.4799999999996</v>
      </c>
    </row>
    <row r="790" spans="1:8">
      <c r="A790" s="14">
        <v>785</v>
      </c>
      <c r="B790" s="9">
        <v>45896</v>
      </c>
      <c r="C790" s="10" t="s">
        <v>113</v>
      </c>
      <c r="D790" s="10" t="s">
        <v>14</v>
      </c>
      <c r="E790" s="11" t="s">
        <v>29</v>
      </c>
      <c r="F790" s="5">
        <v>2459.83</v>
      </c>
      <c r="G790" s="13" t="s">
        <v>114</v>
      </c>
      <c r="H790" s="12">
        <f t="shared" si="12"/>
        <v>-2459.83</v>
      </c>
    </row>
    <row r="791" spans="1:8">
      <c r="A791" s="14">
        <v>786</v>
      </c>
      <c r="B791" s="9">
        <v>45897</v>
      </c>
      <c r="C791" s="10" t="s">
        <v>113</v>
      </c>
      <c r="D791" s="10" t="s">
        <v>10</v>
      </c>
      <c r="E791" s="11" t="s">
        <v>65</v>
      </c>
      <c r="F791" s="5">
        <v>2536.62</v>
      </c>
      <c r="G791" s="13" t="s">
        <v>114</v>
      </c>
      <c r="H791" s="12">
        <f t="shared" si="12"/>
        <v>-2536.62</v>
      </c>
    </row>
    <row r="792" spans="1:8">
      <c r="A792" s="14">
        <v>787</v>
      </c>
      <c r="B792" s="9">
        <v>45897</v>
      </c>
      <c r="C792" s="10" t="s">
        <v>113</v>
      </c>
      <c r="D792" s="10" t="s">
        <v>14</v>
      </c>
      <c r="E792" s="11" t="s">
        <v>40</v>
      </c>
      <c r="F792" s="5">
        <v>11765.24</v>
      </c>
      <c r="G792" s="13" t="s">
        <v>114</v>
      </c>
      <c r="H792" s="12">
        <f t="shared" si="12"/>
        <v>-11765.24</v>
      </c>
    </row>
    <row r="793" spans="1:8">
      <c r="A793" s="14">
        <v>788</v>
      </c>
      <c r="B793" s="9">
        <v>45897</v>
      </c>
      <c r="C793" s="10" t="s">
        <v>113</v>
      </c>
      <c r="D793" s="10" t="s">
        <v>15</v>
      </c>
      <c r="E793" s="11" t="s">
        <v>7</v>
      </c>
      <c r="F793" s="5">
        <v>1051.3900000000001</v>
      </c>
      <c r="G793" s="13" t="s">
        <v>114</v>
      </c>
      <c r="H793" s="12">
        <f t="shared" si="12"/>
        <v>-1051.3900000000001</v>
      </c>
    </row>
    <row r="794" spans="1:8">
      <c r="A794" s="14">
        <v>789</v>
      </c>
      <c r="B794" s="9">
        <v>45897</v>
      </c>
      <c r="C794" s="10" t="s">
        <v>113</v>
      </c>
      <c r="D794" s="10" t="s">
        <v>14</v>
      </c>
      <c r="E794" s="11" t="s">
        <v>69</v>
      </c>
      <c r="F794" s="5">
        <v>2889.65</v>
      </c>
      <c r="G794" s="13" t="s">
        <v>114</v>
      </c>
      <c r="H794" s="12">
        <f t="shared" si="12"/>
        <v>-2889.65</v>
      </c>
    </row>
    <row r="795" spans="1:8">
      <c r="A795" s="14">
        <v>790</v>
      </c>
      <c r="B795" s="9">
        <v>45897</v>
      </c>
      <c r="C795" s="10" t="s">
        <v>113</v>
      </c>
      <c r="D795" s="10" t="s">
        <v>14</v>
      </c>
      <c r="E795" s="11" t="s">
        <v>34</v>
      </c>
      <c r="F795" s="5">
        <v>11827.95</v>
      </c>
      <c r="G795" s="13" t="s">
        <v>114</v>
      </c>
      <c r="H795" s="12">
        <f t="shared" si="12"/>
        <v>-11827.95</v>
      </c>
    </row>
    <row r="796" spans="1:8">
      <c r="A796" s="14">
        <v>791</v>
      </c>
      <c r="B796" s="9">
        <v>45897</v>
      </c>
      <c r="C796" s="10" t="s">
        <v>113</v>
      </c>
      <c r="D796" s="10" t="s">
        <v>16</v>
      </c>
      <c r="E796" s="11" t="s">
        <v>22</v>
      </c>
      <c r="F796" s="5">
        <v>1976.03</v>
      </c>
      <c r="G796" s="13" t="s">
        <v>114</v>
      </c>
      <c r="H796" s="12">
        <f t="shared" si="12"/>
        <v>-1976.03</v>
      </c>
    </row>
    <row r="797" spans="1:8">
      <c r="A797" s="14">
        <v>792</v>
      </c>
      <c r="B797" s="9">
        <v>45898</v>
      </c>
      <c r="C797" s="10" t="s">
        <v>113</v>
      </c>
      <c r="D797" s="10" t="s">
        <v>15</v>
      </c>
      <c r="E797" s="11" t="s">
        <v>66</v>
      </c>
      <c r="F797" s="5">
        <v>11983.31</v>
      </c>
      <c r="G797" s="13" t="s">
        <v>114</v>
      </c>
      <c r="H797" s="12">
        <f t="shared" si="12"/>
        <v>-11983.31</v>
      </c>
    </row>
    <row r="798" spans="1:8">
      <c r="A798" s="14">
        <v>793</v>
      </c>
      <c r="B798" s="9">
        <v>45898</v>
      </c>
      <c r="C798" s="10" t="s">
        <v>113</v>
      </c>
      <c r="D798" s="10" t="s">
        <v>10</v>
      </c>
      <c r="E798" s="11" t="s">
        <v>59</v>
      </c>
      <c r="F798" s="5">
        <v>3844.22</v>
      </c>
      <c r="G798" s="13" t="s">
        <v>114</v>
      </c>
      <c r="H798" s="12">
        <f t="shared" si="12"/>
        <v>-3844.22</v>
      </c>
    </row>
    <row r="799" spans="1:8">
      <c r="A799" s="14">
        <v>794</v>
      </c>
      <c r="B799" s="9">
        <v>45899</v>
      </c>
      <c r="C799" s="10" t="s">
        <v>113</v>
      </c>
      <c r="D799" s="10" t="s">
        <v>14</v>
      </c>
      <c r="E799" s="11" t="s">
        <v>46</v>
      </c>
      <c r="F799" s="5">
        <v>1145.02</v>
      </c>
      <c r="G799" s="13" t="s">
        <v>114</v>
      </c>
      <c r="H799" s="12">
        <f t="shared" si="12"/>
        <v>-1145.02</v>
      </c>
    </row>
    <row r="800" spans="1:8">
      <c r="A800" s="14">
        <v>795</v>
      </c>
      <c r="B800" s="9">
        <v>45899</v>
      </c>
      <c r="C800" s="10" t="s">
        <v>113</v>
      </c>
      <c r="D800" s="10" t="s">
        <v>14</v>
      </c>
      <c r="E800" s="11" t="s">
        <v>29</v>
      </c>
      <c r="F800" s="5">
        <v>1650.41</v>
      </c>
      <c r="G800" s="13" t="s">
        <v>114</v>
      </c>
      <c r="H800" s="12">
        <f t="shared" si="12"/>
        <v>-1650.41</v>
      </c>
    </row>
    <row r="801" spans="1:8">
      <c r="A801" s="14">
        <v>796</v>
      </c>
      <c r="B801" s="9">
        <v>45900</v>
      </c>
      <c r="C801" s="10" t="s">
        <v>113</v>
      </c>
      <c r="D801" s="10" t="s">
        <v>14</v>
      </c>
      <c r="E801" s="11" t="s">
        <v>69</v>
      </c>
      <c r="F801" s="5">
        <v>3551.51</v>
      </c>
      <c r="G801" s="13" t="s">
        <v>114</v>
      </c>
      <c r="H801" s="12">
        <f t="shared" si="12"/>
        <v>-3551.51</v>
      </c>
    </row>
    <row r="802" spans="1:8">
      <c r="A802" s="14">
        <v>797</v>
      </c>
      <c r="B802" s="9">
        <v>45900</v>
      </c>
      <c r="C802" s="10" t="s">
        <v>113</v>
      </c>
      <c r="D802" s="10" t="s">
        <v>9</v>
      </c>
      <c r="E802" s="11" t="s">
        <v>72</v>
      </c>
      <c r="F802" s="5">
        <v>5074.8</v>
      </c>
      <c r="G802" s="13" t="s">
        <v>114</v>
      </c>
      <c r="H802" s="12">
        <f t="shared" si="12"/>
        <v>-5074.8</v>
      </c>
    </row>
    <row r="803" spans="1:8">
      <c r="A803" s="14">
        <v>798</v>
      </c>
      <c r="B803" s="9">
        <v>45901</v>
      </c>
      <c r="C803" s="10" t="s">
        <v>113</v>
      </c>
      <c r="D803" s="10" t="s">
        <v>17</v>
      </c>
      <c r="E803" s="11" t="s">
        <v>31</v>
      </c>
      <c r="F803" s="5">
        <v>4954.2</v>
      </c>
      <c r="G803" s="13" t="s">
        <v>114</v>
      </c>
      <c r="H803" s="12">
        <f t="shared" si="12"/>
        <v>-4954.2</v>
      </c>
    </row>
    <row r="804" spans="1:8">
      <c r="A804" s="14">
        <v>799</v>
      </c>
      <c r="B804" s="9">
        <v>45901</v>
      </c>
      <c r="C804" s="10" t="s">
        <v>113</v>
      </c>
      <c r="D804" s="10" t="s">
        <v>16</v>
      </c>
      <c r="E804" s="11" t="s">
        <v>57</v>
      </c>
      <c r="F804" s="5">
        <v>1833.72</v>
      </c>
      <c r="G804" s="13" t="s">
        <v>114</v>
      </c>
      <c r="H804" s="12">
        <f t="shared" si="12"/>
        <v>-1833.72</v>
      </c>
    </row>
    <row r="805" spans="1:8">
      <c r="A805" s="14">
        <v>800</v>
      </c>
      <c r="B805" s="9">
        <v>45901</v>
      </c>
      <c r="C805" s="10" t="s">
        <v>113</v>
      </c>
      <c r="D805" s="10" t="s">
        <v>16</v>
      </c>
      <c r="E805" s="11" t="s">
        <v>68</v>
      </c>
      <c r="F805" s="5">
        <v>2212.59</v>
      </c>
      <c r="G805" s="13" t="s">
        <v>114</v>
      </c>
      <c r="H805" s="12">
        <f t="shared" si="12"/>
        <v>-2212.59</v>
      </c>
    </row>
    <row r="806" spans="1:8">
      <c r="A806" s="14">
        <v>801</v>
      </c>
      <c r="B806" s="9">
        <v>45902</v>
      </c>
      <c r="C806" s="10" t="s">
        <v>113</v>
      </c>
      <c r="D806" s="10" t="s">
        <v>14</v>
      </c>
      <c r="E806" s="11" t="s">
        <v>69</v>
      </c>
      <c r="F806" s="5">
        <v>6827.46</v>
      </c>
      <c r="G806" s="13" t="s">
        <v>114</v>
      </c>
      <c r="H806" s="12">
        <f t="shared" si="12"/>
        <v>-6827.46</v>
      </c>
    </row>
    <row r="807" spans="1:8">
      <c r="A807" s="14">
        <v>802</v>
      </c>
      <c r="B807" s="9">
        <v>45902</v>
      </c>
      <c r="C807" s="10" t="s">
        <v>113</v>
      </c>
      <c r="D807" s="10" t="s">
        <v>10</v>
      </c>
      <c r="E807" s="11" t="s">
        <v>70</v>
      </c>
      <c r="F807" s="5">
        <v>1938.79</v>
      </c>
      <c r="G807" s="13" t="s">
        <v>114</v>
      </c>
      <c r="H807" s="12">
        <f t="shared" si="12"/>
        <v>-1938.79</v>
      </c>
    </row>
    <row r="808" spans="1:8">
      <c r="A808" s="14">
        <v>803</v>
      </c>
      <c r="B808" s="9">
        <v>45902</v>
      </c>
      <c r="C808" s="10" t="s">
        <v>113</v>
      </c>
      <c r="D808" s="10" t="s">
        <v>10</v>
      </c>
      <c r="E808" s="11" t="s">
        <v>59</v>
      </c>
      <c r="F808" s="5">
        <v>6510.25</v>
      </c>
      <c r="G808" s="13" t="s">
        <v>114</v>
      </c>
      <c r="H808" s="12">
        <f t="shared" si="12"/>
        <v>-6510.25</v>
      </c>
    </row>
    <row r="809" spans="1:8">
      <c r="A809" s="14">
        <v>804</v>
      </c>
      <c r="B809" s="9">
        <v>45902</v>
      </c>
      <c r="C809" s="10" t="s">
        <v>113</v>
      </c>
      <c r="D809" s="10" t="s">
        <v>17</v>
      </c>
      <c r="E809" s="11" t="s">
        <v>36</v>
      </c>
      <c r="F809" s="5">
        <v>1310.0899999999999</v>
      </c>
      <c r="G809" s="13" t="s">
        <v>114</v>
      </c>
      <c r="H809" s="12">
        <f t="shared" si="12"/>
        <v>-1310.0899999999999</v>
      </c>
    </row>
    <row r="810" spans="1:8">
      <c r="A810" s="14">
        <v>805</v>
      </c>
      <c r="B810" s="9">
        <v>45903</v>
      </c>
      <c r="C810" s="10" t="s">
        <v>113</v>
      </c>
      <c r="D810" s="10" t="s">
        <v>10</v>
      </c>
      <c r="E810" s="11" t="s">
        <v>59</v>
      </c>
      <c r="F810" s="5">
        <v>5471.63</v>
      </c>
      <c r="G810" s="13" t="s">
        <v>114</v>
      </c>
      <c r="H810" s="12">
        <f t="shared" si="12"/>
        <v>-5471.63</v>
      </c>
    </row>
    <row r="811" spans="1:8">
      <c r="A811" s="14">
        <v>806</v>
      </c>
      <c r="B811" s="9">
        <v>45903</v>
      </c>
      <c r="C811" s="10" t="s">
        <v>113</v>
      </c>
      <c r="D811" s="10" t="s">
        <v>14</v>
      </c>
      <c r="E811" s="11" t="s">
        <v>34</v>
      </c>
      <c r="F811" s="5">
        <v>4831.79</v>
      </c>
      <c r="G811" s="13" t="s">
        <v>114</v>
      </c>
      <c r="H811" s="12">
        <f t="shared" si="12"/>
        <v>-4831.79</v>
      </c>
    </row>
    <row r="812" spans="1:8">
      <c r="A812" s="14">
        <v>807</v>
      </c>
      <c r="B812" s="9">
        <v>45903</v>
      </c>
      <c r="C812" s="10" t="s">
        <v>113</v>
      </c>
      <c r="D812" s="10" t="s">
        <v>9</v>
      </c>
      <c r="E812" s="11" t="s">
        <v>50</v>
      </c>
      <c r="F812" s="5">
        <v>723.45</v>
      </c>
      <c r="G812" s="13" t="s">
        <v>114</v>
      </c>
      <c r="H812" s="12">
        <f t="shared" si="12"/>
        <v>-723.45</v>
      </c>
    </row>
    <row r="813" spans="1:8">
      <c r="A813" s="14">
        <v>808</v>
      </c>
      <c r="B813" s="9">
        <v>45904</v>
      </c>
      <c r="C813" s="10" t="s">
        <v>113</v>
      </c>
      <c r="D813" s="10" t="s">
        <v>14</v>
      </c>
      <c r="E813" s="11" t="s">
        <v>46</v>
      </c>
      <c r="F813" s="5">
        <v>2879.31</v>
      </c>
      <c r="G813" s="13" t="s">
        <v>114</v>
      </c>
      <c r="H813" s="12">
        <f t="shared" si="12"/>
        <v>-2879.31</v>
      </c>
    </row>
    <row r="814" spans="1:8">
      <c r="A814" s="14">
        <v>809</v>
      </c>
      <c r="B814" s="9">
        <v>45904</v>
      </c>
      <c r="C814" s="10" t="s">
        <v>113</v>
      </c>
      <c r="D814" s="10" t="s">
        <v>14</v>
      </c>
      <c r="E814" s="11" t="s">
        <v>29</v>
      </c>
      <c r="F814" s="5">
        <v>1473.16</v>
      </c>
      <c r="G814" s="13" t="s">
        <v>114</v>
      </c>
      <c r="H814" s="12">
        <f t="shared" si="12"/>
        <v>-1473.16</v>
      </c>
    </row>
    <row r="815" spans="1:8">
      <c r="A815" s="14">
        <v>810</v>
      </c>
      <c r="B815" s="9">
        <v>45904</v>
      </c>
      <c r="C815" s="10" t="s">
        <v>113</v>
      </c>
      <c r="D815" s="10" t="s">
        <v>9</v>
      </c>
      <c r="E815" s="11" t="s">
        <v>32</v>
      </c>
      <c r="F815" s="5">
        <v>1528.87</v>
      </c>
      <c r="G815" s="13" t="s">
        <v>114</v>
      </c>
      <c r="H815" s="12">
        <f t="shared" si="12"/>
        <v>-1528.87</v>
      </c>
    </row>
    <row r="816" spans="1:8">
      <c r="A816" s="14">
        <v>811</v>
      </c>
      <c r="B816" s="9">
        <v>45904</v>
      </c>
      <c r="C816" s="10" t="s">
        <v>113</v>
      </c>
      <c r="D816" s="10" t="s">
        <v>14</v>
      </c>
      <c r="E816" s="11" t="s">
        <v>40</v>
      </c>
      <c r="F816" s="5">
        <v>7096.39</v>
      </c>
      <c r="G816" s="13" t="s">
        <v>114</v>
      </c>
      <c r="H816" s="12">
        <f t="shared" si="12"/>
        <v>-7096.39</v>
      </c>
    </row>
    <row r="817" spans="1:8">
      <c r="A817" s="14">
        <v>812</v>
      </c>
      <c r="B817" s="9">
        <v>45905</v>
      </c>
      <c r="C817" s="10" t="s">
        <v>113</v>
      </c>
      <c r="D817" s="10" t="s">
        <v>14</v>
      </c>
      <c r="E817" s="11" t="s">
        <v>23</v>
      </c>
      <c r="F817" s="5">
        <v>4059.34</v>
      </c>
      <c r="G817" s="13" t="s">
        <v>114</v>
      </c>
      <c r="H817" s="12">
        <f t="shared" si="12"/>
        <v>-4059.34</v>
      </c>
    </row>
    <row r="818" spans="1:8">
      <c r="A818" s="14">
        <v>813</v>
      </c>
      <c r="B818" s="9">
        <v>45905</v>
      </c>
      <c r="C818" s="10" t="s">
        <v>113</v>
      </c>
      <c r="D818" s="10" t="s">
        <v>14</v>
      </c>
      <c r="E818" s="11" t="s">
        <v>40</v>
      </c>
      <c r="F818" s="5">
        <v>13302.17</v>
      </c>
      <c r="G818" s="13" t="s">
        <v>114</v>
      </c>
      <c r="H818" s="12">
        <f t="shared" si="12"/>
        <v>-13302.17</v>
      </c>
    </row>
    <row r="819" spans="1:8">
      <c r="A819" s="14">
        <v>814</v>
      </c>
      <c r="B819" s="9">
        <v>45905</v>
      </c>
      <c r="C819" s="10" t="s">
        <v>113</v>
      </c>
      <c r="D819" s="10" t="s">
        <v>17</v>
      </c>
      <c r="E819" s="11" t="s">
        <v>54</v>
      </c>
      <c r="F819" s="5">
        <v>1297.03</v>
      </c>
      <c r="G819" s="13" t="s">
        <v>114</v>
      </c>
      <c r="H819" s="12">
        <f t="shared" si="12"/>
        <v>-1297.03</v>
      </c>
    </row>
    <row r="820" spans="1:8">
      <c r="A820" s="14">
        <v>815</v>
      </c>
      <c r="B820" s="9">
        <v>45906</v>
      </c>
      <c r="C820" s="10" t="s">
        <v>113</v>
      </c>
      <c r="D820" s="10" t="s">
        <v>9</v>
      </c>
      <c r="E820" s="11" t="s">
        <v>27</v>
      </c>
      <c r="F820" s="5">
        <v>2213.54</v>
      </c>
      <c r="G820" s="13" t="s">
        <v>114</v>
      </c>
      <c r="H820" s="12">
        <f t="shared" si="12"/>
        <v>-2213.54</v>
      </c>
    </row>
    <row r="821" spans="1:8">
      <c r="A821" s="14">
        <v>816</v>
      </c>
      <c r="B821" s="9">
        <v>45908</v>
      </c>
      <c r="C821" s="10" t="s">
        <v>113</v>
      </c>
      <c r="D821" s="10" t="s">
        <v>16</v>
      </c>
      <c r="E821" s="11" t="s">
        <v>39</v>
      </c>
      <c r="F821" s="5">
        <v>277.17</v>
      </c>
      <c r="G821" s="13" t="s">
        <v>114</v>
      </c>
      <c r="H821" s="12">
        <f t="shared" si="12"/>
        <v>-277.17</v>
      </c>
    </row>
    <row r="822" spans="1:8">
      <c r="A822" s="14">
        <v>817</v>
      </c>
      <c r="B822" s="9">
        <v>45908</v>
      </c>
      <c r="C822" s="10" t="s">
        <v>113</v>
      </c>
      <c r="D822" s="10" t="s">
        <v>14</v>
      </c>
      <c r="E822" s="11" t="s">
        <v>69</v>
      </c>
      <c r="F822" s="5">
        <v>1488.86</v>
      </c>
      <c r="G822" s="13" t="s">
        <v>114</v>
      </c>
      <c r="H822" s="12">
        <f t="shared" si="12"/>
        <v>-1488.86</v>
      </c>
    </row>
    <row r="823" spans="1:8">
      <c r="A823" s="14">
        <v>818</v>
      </c>
      <c r="B823" s="9">
        <v>45908</v>
      </c>
      <c r="C823" s="10" t="s">
        <v>113</v>
      </c>
      <c r="D823" s="10" t="s">
        <v>14</v>
      </c>
      <c r="E823" s="11" t="s">
        <v>46</v>
      </c>
      <c r="F823" s="5">
        <v>2155.9</v>
      </c>
      <c r="G823" s="13" t="s">
        <v>114</v>
      </c>
      <c r="H823" s="12">
        <f t="shared" si="12"/>
        <v>-2155.9</v>
      </c>
    </row>
    <row r="824" spans="1:8">
      <c r="A824" s="14">
        <v>819</v>
      </c>
      <c r="B824" s="9">
        <v>45908</v>
      </c>
      <c r="C824" s="10" t="s">
        <v>113</v>
      </c>
      <c r="D824" s="10" t="s">
        <v>10</v>
      </c>
      <c r="E824" s="11" t="s">
        <v>19</v>
      </c>
      <c r="F824" s="5">
        <v>20838.79</v>
      </c>
      <c r="G824" s="13" t="s">
        <v>114</v>
      </c>
      <c r="H824" s="12">
        <f t="shared" si="12"/>
        <v>-20838.79</v>
      </c>
    </row>
    <row r="825" spans="1:8">
      <c r="A825" s="14">
        <v>820</v>
      </c>
      <c r="B825" s="9">
        <v>45909</v>
      </c>
      <c r="C825" s="10" t="s">
        <v>113</v>
      </c>
      <c r="D825" s="10" t="s">
        <v>17</v>
      </c>
      <c r="E825" s="11" t="s">
        <v>20</v>
      </c>
      <c r="F825" s="5">
        <v>226.02</v>
      </c>
      <c r="G825" s="13" t="s">
        <v>114</v>
      </c>
      <c r="H825" s="12">
        <f t="shared" si="12"/>
        <v>-226.02</v>
      </c>
    </row>
    <row r="826" spans="1:8">
      <c r="A826" s="14">
        <v>821</v>
      </c>
      <c r="B826" s="9">
        <v>45909</v>
      </c>
      <c r="C826" s="10" t="s">
        <v>113</v>
      </c>
      <c r="D826" s="10" t="s">
        <v>9</v>
      </c>
      <c r="E826" s="11" t="s">
        <v>21</v>
      </c>
      <c r="F826" s="5">
        <v>2527.98</v>
      </c>
      <c r="G826" s="13" t="s">
        <v>114</v>
      </c>
      <c r="H826" s="12">
        <f t="shared" si="12"/>
        <v>-2527.98</v>
      </c>
    </row>
    <row r="827" spans="1:8">
      <c r="A827" s="14">
        <v>822</v>
      </c>
      <c r="B827" s="9">
        <v>45909</v>
      </c>
      <c r="C827" s="10" t="s">
        <v>113</v>
      </c>
      <c r="D827" s="10" t="s">
        <v>14</v>
      </c>
      <c r="E827" s="11" t="s">
        <v>29</v>
      </c>
      <c r="F827" s="5">
        <v>1944.16</v>
      </c>
      <c r="G827" s="13" t="s">
        <v>114</v>
      </c>
      <c r="H827" s="12">
        <f t="shared" si="12"/>
        <v>-1944.16</v>
      </c>
    </row>
    <row r="828" spans="1:8">
      <c r="A828" s="14">
        <v>823</v>
      </c>
      <c r="B828" s="9">
        <v>45909</v>
      </c>
      <c r="C828" s="10" t="s">
        <v>113</v>
      </c>
      <c r="D828" s="10" t="s">
        <v>10</v>
      </c>
      <c r="E828" s="11" t="s">
        <v>24</v>
      </c>
      <c r="F828" s="5">
        <v>6586.59</v>
      </c>
      <c r="G828" s="13" t="s">
        <v>114</v>
      </c>
      <c r="H828" s="12">
        <f t="shared" si="12"/>
        <v>-6586.59</v>
      </c>
    </row>
    <row r="829" spans="1:8">
      <c r="A829" s="14">
        <v>824</v>
      </c>
      <c r="B829" s="9">
        <v>45910</v>
      </c>
      <c r="C829" s="10" t="s">
        <v>113</v>
      </c>
      <c r="D829" s="10" t="s">
        <v>9</v>
      </c>
      <c r="E829" s="11" t="s">
        <v>27</v>
      </c>
      <c r="F829" s="5">
        <v>2979.7</v>
      </c>
      <c r="G829" s="13" t="s">
        <v>114</v>
      </c>
      <c r="H829" s="12">
        <f t="shared" si="12"/>
        <v>-2979.7</v>
      </c>
    </row>
    <row r="830" spans="1:8">
      <c r="A830" s="14">
        <v>825</v>
      </c>
      <c r="B830" s="9">
        <v>45910</v>
      </c>
      <c r="C830" s="10" t="s">
        <v>113</v>
      </c>
      <c r="D830" s="10" t="s">
        <v>10</v>
      </c>
      <c r="E830" s="11" t="s">
        <v>19</v>
      </c>
      <c r="F830" s="5">
        <v>22725.27</v>
      </c>
      <c r="G830" s="13" t="s">
        <v>114</v>
      </c>
      <c r="H830" s="12">
        <f t="shared" si="12"/>
        <v>-22725.27</v>
      </c>
    </row>
    <row r="831" spans="1:8">
      <c r="A831" s="14">
        <v>826</v>
      </c>
      <c r="B831" s="9">
        <v>45910</v>
      </c>
      <c r="C831" s="10" t="s">
        <v>113</v>
      </c>
      <c r="D831" s="10" t="s">
        <v>10</v>
      </c>
      <c r="E831" s="11" t="s">
        <v>30</v>
      </c>
      <c r="F831" s="5">
        <v>5525.2</v>
      </c>
      <c r="G831" s="13" t="s">
        <v>114</v>
      </c>
      <c r="H831" s="12">
        <f t="shared" si="12"/>
        <v>-5525.2</v>
      </c>
    </row>
    <row r="832" spans="1:8">
      <c r="A832" s="14">
        <v>827</v>
      </c>
      <c r="B832" s="9">
        <v>45910</v>
      </c>
      <c r="C832" s="10" t="s">
        <v>113</v>
      </c>
      <c r="D832" s="10" t="s">
        <v>9</v>
      </c>
      <c r="E832" s="11" t="s">
        <v>27</v>
      </c>
      <c r="F832" s="5">
        <v>4089.51</v>
      </c>
      <c r="G832" s="13" t="s">
        <v>114</v>
      </c>
      <c r="H832" s="12">
        <f t="shared" si="12"/>
        <v>-4089.51</v>
      </c>
    </row>
    <row r="833" spans="1:8">
      <c r="A833" s="14">
        <v>828</v>
      </c>
      <c r="B833" s="9">
        <v>45910</v>
      </c>
      <c r="C833" s="10" t="s">
        <v>113</v>
      </c>
      <c r="D833" s="10" t="s">
        <v>10</v>
      </c>
      <c r="E833" s="11" t="s">
        <v>59</v>
      </c>
      <c r="F833" s="5">
        <v>3157.48</v>
      </c>
      <c r="G833" s="13" t="s">
        <v>114</v>
      </c>
      <c r="H833" s="12">
        <f t="shared" si="12"/>
        <v>-3157.48</v>
      </c>
    </row>
    <row r="834" spans="1:8">
      <c r="A834" s="14">
        <v>829</v>
      </c>
      <c r="B834" s="9">
        <v>45910</v>
      </c>
      <c r="C834" s="10" t="s">
        <v>113</v>
      </c>
      <c r="D834" s="10" t="s">
        <v>10</v>
      </c>
      <c r="E834" s="11" t="s">
        <v>70</v>
      </c>
      <c r="F834" s="5">
        <v>3723.54</v>
      </c>
      <c r="G834" s="13" t="s">
        <v>114</v>
      </c>
      <c r="H834" s="12">
        <f t="shared" si="12"/>
        <v>-3723.54</v>
      </c>
    </row>
    <row r="835" spans="1:8">
      <c r="A835" s="14">
        <v>830</v>
      </c>
      <c r="B835" s="9">
        <v>45910</v>
      </c>
      <c r="C835" s="10" t="s">
        <v>113</v>
      </c>
      <c r="D835" s="10" t="s">
        <v>15</v>
      </c>
      <c r="E835" s="11" t="s">
        <v>55</v>
      </c>
      <c r="F835" s="5">
        <v>3422.66</v>
      </c>
      <c r="G835" s="13" t="s">
        <v>114</v>
      </c>
      <c r="H835" s="12">
        <f t="shared" si="12"/>
        <v>-3422.66</v>
      </c>
    </row>
    <row r="836" spans="1:8">
      <c r="A836" s="14">
        <v>831</v>
      </c>
      <c r="B836" s="9">
        <v>45911</v>
      </c>
      <c r="C836" s="10" t="s">
        <v>113</v>
      </c>
      <c r="D836" s="10" t="s">
        <v>14</v>
      </c>
      <c r="E836" s="11" t="s">
        <v>23</v>
      </c>
      <c r="F836" s="5">
        <v>6212.16</v>
      </c>
      <c r="G836" s="13" t="s">
        <v>114</v>
      </c>
      <c r="H836" s="12">
        <f t="shared" si="12"/>
        <v>-6212.16</v>
      </c>
    </row>
    <row r="837" spans="1:8">
      <c r="A837" s="14">
        <v>832</v>
      </c>
      <c r="B837" s="9">
        <v>45911</v>
      </c>
      <c r="C837" s="10" t="s">
        <v>113</v>
      </c>
      <c r="D837" s="10" t="s">
        <v>16</v>
      </c>
      <c r="E837" s="11" t="s">
        <v>45</v>
      </c>
      <c r="F837" s="5">
        <v>5388.22</v>
      </c>
      <c r="G837" s="13" t="s">
        <v>114</v>
      </c>
      <c r="H837" s="12">
        <f t="shared" ref="H837:H900" si="13">IF(C837="Despesa", F837*-1, F837)</f>
        <v>-5388.22</v>
      </c>
    </row>
    <row r="838" spans="1:8">
      <c r="A838" s="14">
        <v>833</v>
      </c>
      <c r="B838" s="9">
        <v>45911</v>
      </c>
      <c r="C838" s="10" t="s">
        <v>113</v>
      </c>
      <c r="D838" s="10" t="s">
        <v>15</v>
      </c>
      <c r="E838" s="11" t="s">
        <v>49</v>
      </c>
      <c r="F838" s="5">
        <v>2405.4</v>
      </c>
      <c r="G838" s="13" t="s">
        <v>114</v>
      </c>
      <c r="H838" s="12">
        <f t="shared" si="13"/>
        <v>-2405.4</v>
      </c>
    </row>
    <row r="839" spans="1:8">
      <c r="A839" s="14">
        <v>834</v>
      </c>
      <c r="B839" s="9">
        <v>45911</v>
      </c>
      <c r="C839" s="10" t="s">
        <v>113</v>
      </c>
      <c r="D839" s="10" t="s">
        <v>9</v>
      </c>
      <c r="E839" s="11" t="s">
        <v>72</v>
      </c>
      <c r="F839" s="5">
        <v>3204.76</v>
      </c>
      <c r="G839" s="13" t="s">
        <v>114</v>
      </c>
      <c r="H839" s="12">
        <f t="shared" si="13"/>
        <v>-3204.76</v>
      </c>
    </row>
    <row r="840" spans="1:8">
      <c r="A840" s="14">
        <v>835</v>
      </c>
      <c r="B840" s="9">
        <v>45912</v>
      </c>
      <c r="C840" s="10" t="s">
        <v>113</v>
      </c>
      <c r="D840" s="10" t="s">
        <v>14</v>
      </c>
      <c r="E840" s="11" t="s">
        <v>74</v>
      </c>
      <c r="F840" s="5">
        <v>1604.21</v>
      </c>
      <c r="G840" s="13" t="s">
        <v>114</v>
      </c>
      <c r="H840" s="12">
        <f t="shared" si="13"/>
        <v>-1604.21</v>
      </c>
    </row>
    <row r="841" spans="1:8">
      <c r="A841" s="14">
        <v>836</v>
      </c>
      <c r="B841" s="9">
        <v>45912</v>
      </c>
      <c r="C841" s="10" t="s">
        <v>113</v>
      </c>
      <c r="D841" s="10" t="s">
        <v>15</v>
      </c>
      <c r="E841" s="11" t="s">
        <v>55</v>
      </c>
      <c r="F841" s="5">
        <v>2656.09</v>
      </c>
      <c r="G841" s="13" t="s">
        <v>114</v>
      </c>
      <c r="H841" s="12">
        <f t="shared" si="13"/>
        <v>-2656.09</v>
      </c>
    </row>
    <row r="842" spans="1:8">
      <c r="A842" s="14">
        <v>837</v>
      </c>
      <c r="B842" s="9">
        <v>45912</v>
      </c>
      <c r="C842" s="10" t="s">
        <v>113</v>
      </c>
      <c r="D842" s="10" t="s">
        <v>9</v>
      </c>
      <c r="E842" s="11" t="s">
        <v>44</v>
      </c>
      <c r="F842" s="5">
        <v>3102.92</v>
      </c>
      <c r="G842" s="13" t="s">
        <v>114</v>
      </c>
      <c r="H842" s="12">
        <f t="shared" si="13"/>
        <v>-3102.92</v>
      </c>
    </row>
    <row r="843" spans="1:8">
      <c r="A843" s="14">
        <v>838</v>
      </c>
      <c r="B843" s="9">
        <v>45912</v>
      </c>
      <c r="C843" s="10" t="s">
        <v>113</v>
      </c>
      <c r="D843" s="10" t="s">
        <v>14</v>
      </c>
      <c r="E843" s="11" t="s">
        <v>46</v>
      </c>
      <c r="F843" s="5">
        <v>1393.53</v>
      </c>
      <c r="G843" s="13" t="s">
        <v>114</v>
      </c>
      <c r="H843" s="12">
        <f t="shared" si="13"/>
        <v>-1393.53</v>
      </c>
    </row>
    <row r="844" spans="1:8">
      <c r="A844" s="14">
        <v>839</v>
      </c>
      <c r="B844" s="9">
        <v>45912</v>
      </c>
      <c r="C844" s="10" t="s">
        <v>113</v>
      </c>
      <c r="D844" s="10" t="s">
        <v>17</v>
      </c>
      <c r="E844" s="11" t="s">
        <v>31</v>
      </c>
      <c r="F844" s="5">
        <v>9541.7900000000009</v>
      </c>
      <c r="G844" s="13" t="s">
        <v>114</v>
      </c>
      <c r="H844" s="12">
        <f t="shared" si="13"/>
        <v>-9541.7900000000009</v>
      </c>
    </row>
    <row r="845" spans="1:8">
      <c r="A845" s="14">
        <v>840</v>
      </c>
      <c r="B845" s="9">
        <v>45915</v>
      </c>
      <c r="C845" s="10" t="s">
        <v>113</v>
      </c>
      <c r="D845" s="10" t="s">
        <v>14</v>
      </c>
      <c r="E845" s="11" t="s">
        <v>52</v>
      </c>
      <c r="F845" s="5">
        <v>1015.06</v>
      </c>
      <c r="G845" s="13" t="s">
        <v>114</v>
      </c>
      <c r="H845" s="12">
        <f t="shared" si="13"/>
        <v>-1015.06</v>
      </c>
    </row>
    <row r="846" spans="1:8">
      <c r="A846" s="14">
        <v>841</v>
      </c>
      <c r="B846" s="9">
        <v>45915</v>
      </c>
      <c r="C846" s="10" t="s">
        <v>113</v>
      </c>
      <c r="D846" s="10" t="s">
        <v>15</v>
      </c>
      <c r="E846" s="11" t="s">
        <v>61</v>
      </c>
      <c r="F846" s="5">
        <v>1831.93</v>
      </c>
      <c r="G846" s="13" t="s">
        <v>114</v>
      </c>
      <c r="H846" s="12">
        <f t="shared" si="13"/>
        <v>-1831.93</v>
      </c>
    </row>
    <row r="847" spans="1:8">
      <c r="A847" s="14">
        <v>842</v>
      </c>
      <c r="B847" s="9">
        <v>45915</v>
      </c>
      <c r="C847" s="10" t="s">
        <v>113</v>
      </c>
      <c r="D847" s="10" t="s">
        <v>15</v>
      </c>
      <c r="E847" s="11" t="s">
        <v>55</v>
      </c>
      <c r="F847" s="5">
        <v>1246.05</v>
      </c>
      <c r="G847" s="13" t="s">
        <v>114</v>
      </c>
      <c r="H847" s="12">
        <f t="shared" si="13"/>
        <v>-1246.05</v>
      </c>
    </row>
    <row r="848" spans="1:8">
      <c r="A848" s="14">
        <v>843</v>
      </c>
      <c r="B848" s="9">
        <v>45915</v>
      </c>
      <c r="C848" s="10" t="s">
        <v>113</v>
      </c>
      <c r="D848" s="10" t="s">
        <v>15</v>
      </c>
      <c r="E848" s="11" t="s">
        <v>7</v>
      </c>
      <c r="F848" s="5">
        <v>1248.3800000000001</v>
      </c>
      <c r="G848" s="13" t="s">
        <v>114</v>
      </c>
      <c r="H848" s="12">
        <f t="shared" si="13"/>
        <v>-1248.3800000000001</v>
      </c>
    </row>
    <row r="849" spans="1:8">
      <c r="A849" s="14">
        <v>844</v>
      </c>
      <c r="B849" s="9">
        <v>45915</v>
      </c>
      <c r="C849" s="10" t="s">
        <v>113</v>
      </c>
      <c r="D849" s="10" t="s">
        <v>14</v>
      </c>
      <c r="E849" s="11" t="s">
        <v>69</v>
      </c>
      <c r="F849" s="5">
        <v>4852.3599999999997</v>
      </c>
      <c r="G849" s="13" t="s">
        <v>114</v>
      </c>
      <c r="H849" s="12">
        <f t="shared" si="13"/>
        <v>-4852.3599999999997</v>
      </c>
    </row>
    <row r="850" spans="1:8">
      <c r="A850" s="14">
        <v>845</v>
      </c>
      <c r="B850" s="9">
        <v>45915</v>
      </c>
      <c r="C850" s="10" t="s">
        <v>113</v>
      </c>
      <c r="D850" s="10" t="s">
        <v>10</v>
      </c>
      <c r="E850" s="11" t="s">
        <v>59</v>
      </c>
      <c r="F850" s="5">
        <v>5097.1899999999996</v>
      </c>
      <c r="G850" s="13" t="s">
        <v>114</v>
      </c>
      <c r="H850" s="12">
        <f t="shared" si="13"/>
        <v>-5097.1899999999996</v>
      </c>
    </row>
    <row r="851" spans="1:8">
      <c r="A851" s="14">
        <v>846</v>
      </c>
      <c r="B851" s="9">
        <v>45916</v>
      </c>
      <c r="C851" s="10" t="s">
        <v>113</v>
      </c>
      <c r="D851" s="10" t="s">
        <v>15</v>
      </c>
      <c r="E851" s="11" t="s">
        <v>61</v>
      </c>
      <c r="F851" s="5">
        <v>1872.9</v>
      </c>
      <c r="G851" s="13" t="s">
        <v>114</v>
      </c>
      <c r="H851" s="12">
        <f t="shared" si="13"/>
        <v>-1872.9</v>
      </c>
    </row>
    <row r="852" spans="1:8">
      <c r="A852" s="14">
        <v>847</v>
      </c>
      <c r="B852" s="9">
        <v>45916</v>
      </c>
      <c r="C852" s="10" t="s">
        <v>113</v>
      </c>
      <c r="D852" s="10" t="s">
        <v>10</v>
      </c>
      <c r="E852" s="11" t="s">
        <v>59</v>
      </c>
      <c r="F852" s="5">
        <v>4794.8500000000004</v>
      </c>
      <c r="G852" s="13" t="s">
        <v>114</v>
      </c>
      <c r="H852" s="12">
        <f t="shared" si="13"/>
        <v>-4794.8500000000004</v>
      </c>
    </row>
    <row r="853" spans="1:8">
      <c r="A853" s="14">
        <v>848</v>
      </c>
      <c r="B853" s="9">
        <v>45917</v>
      </c>
      <c r="C853" s="10" t="s">
        <v>113</v>
      </c>
      <c r="D853" s="10" t="s">
        <v>14</v>
      </c>
      <c r="E853" s="11" t="s">
        <v>74</v>
      </c>
      <c r="F853" s="5">
        <v>2173.75</v>
      </c>
      <c r="G853" s="13" t="s">
        <v>114</v>
      </c>
      <c r="H853" s="12">
        <f t="shared" si="13"/>
        <v>-2173.75</v>
      </c>
    </row>
    <row r="854" spans="1:8">
      <c r="A854" s="14">
        <v>849</v>
      </c>
      <c r="B854" s="9">
        <v>45917</v>
      </c>
      <c r="C854" s="10" t="s">
        <v>113</v>
      </c>
      <c r="D854" s="10" t="s">
        <v>15</v>
      </c>
      <c r="E854" s="11" t="s">
        <v>43</v>
      </c>
      <c r="F854" s="5">
        <v>1131.26</v>
      </c>
      <c r="G854" s="13" t="s">
        <v>114</v>
      </c>
      <c r="H854" s="12">
        <f t="shared" si="13"/>
        <v>-1131.26</v>
      </c>
    </row>
    <row r="855" spans="1:8">
      <c r="A855" s="14">
        <v>850</v>
      </c>
      <c r="B855" s="9">
        <v>45918</v>
      </c>
      <c r="C855" s="10" t="s">
        <v>113</v>
      </c>
      <c r="D855" s="10" t="s">
        <v>16</v>
      </c>
      <c r="E855" s="11" t="s">
        <v>57</v>
      </c>
      <c r="F855" s="5">
        <v>2480.5100000000002</v>
      </c>
      <c r="G855" s="13" t="s">
        <v>114</v>
      </c>
      <c r="H855" s="12">
        <f t="shared" si="13"/>
        <v>-2480.5100000000002</v>
      </c>
    </row>
    <row r="856" spans="1:8">
      <c r="A856" s="14">
        <v>851</v>
      </c>
      <c r="B856" s="9">
        <v>45918</v>
      </c>
      <c r="C856" s="10" t="s">
        <v>113</v>
      </c>
      <c r="D856" s="10" t="s">
        <v>14</v>
      </c>
      <c r="E856" s="11" t="s">
        <v>58</v>
      </c>
      <c r="F856" s="5">
        <v>297.12</v>
      </c>
      <c r="G856" s="13" t="s">
        <v>114</v>
      </c>
      <c r="H856" s="12">
        <f t="shared" si="13"/>
        <v>-297.12</v>
      </c>
    </row>
    <row r="857" spans="1:8">
      <c r="A857" s="14">
        <v>852</v>
      </c>
      <c r="B857" s="9">
        <v>45919</v>
      </c>
      <c r="C857" s="10" t="s">
        <v>113</v>
      </c>
      <c r="D857" s="10" t="s">
        <v>15</v>
      </c>
      <c r="E857" s="11" t="s">
        <v>7</v>
      </c>
      <c r="F857" s="5">
        <v>1547.75</v>
      </c>
      <c r="G857" s="13" t="s">
        <v>114</v>
      </c>
      <c r="H857" s="12">
        <f t="shared" si="13"/>
        <v>-1547.75</v>
      </c>
    </row>
    <row r="858" spans="1:8">
      <c r="A858" s="14">
        <v>853</v>
      </c>
      <c r="B858" s="9">
        <v>45919</v>
      </c>
      <c r="C858" s="10" t="s">
        <v>113</v>
      </c>
      <c r="D858" s="10" t="s">
        <v>10</v>
      </c>
      <c r="E858" s="11" t="s">
        <v>30</v>
      </c>
      <c r="F858" s="5">
        <v>3435.12</v>
      </c>
      <c r="G858" s="13" t="s">
        <v>114</v>
      </c>
      <c r="H858" s="12">
        <f t="shared" si="13"/>
        <v>-3435.12</v>
      </c>
    </row>
    <row r="859" spans="1:8">
      <c r="A859" s="14">
        <v>854</v>
      </c>
      <c r="B859" s="9">
        <v>45919</v>
      </c>
      <c r="C859" s="10" t="s">
        <v>113</v>
      </c>
      <c r="D859" s="10" t="s">
        <v>15</v>
      </c>
      <c r="E859" s="11" t="s">
        <v>7</v>
      </c>
      <c r="F859" s="5">
        <v>1196.3399999999999</v>
      </c>
      <c r="G859" s="13" t="s">
        <v>114</v>
      </c>
      <c r="H859" s="12">
        <f t="shared" si="13"/>
        <v>-1196.3399999999999</v>
      </c>
    </row>
    <row r="860" spans="1:8">
      <c r="A860" s="14">
        <v>855</v>
      </c>
      <c r="B860" s="9">
        <v>45919</v>
      </c>
      <c r="C860" s="10" t="s">
        <v>113</v>
      </c>
      <c r="D860" s="10" t="s">
        <v>14</v>
      </c>
      <c r="E860" s="11" t="s">
        <v>74</v>
      </c>
      <c r="F860" s="5">
        <v>1128.3800000000001</v>
      </c>
      <c r="G860" s="13" t="s">
        <v>114</v>
      </c>
      <c r="H860" s="12">
        <f t="shared" si="13"/>
        <v>-1128.3800000000001</v>
      </c>
    </row>
    <row r="861" spans="1:8">
      <c r="A861" s="14">
        <v>856</v>
      </c>
      <c r="B861" s="9">
        <v>45920</v>
      </c>
      <c r="C861" s="10" t="s">
        <v>113</v>
      </c>
      <c r="D861" s="10" t="s">
        <v>10</v>
      </c>
      <c r="E861" s="11" t="s">
        <v>70</v>
      </c>
      <c r="F861" s="5">
        <v>2804.88</v>
      </c>
      <c r="G861" s="13" t="s">
        <v>114</v>
      </c>
      <c r="H861" s="12">
        <f t="shared" si="13"/>
        <v>-2804.88</v>
      </c>
    </row>
    <row r="862" spans="1:8">
      <c r="A862" s="14">
        <v>857</v>
      </c>
      <c r="B862" s="9">
        <v>45922</v>
      </c>
      <c r="C862" s="10" t="s">
        <v>113</v>
      </c>
      <c r="D862" s="10" t="s">
        <v>15</v>
      </c>
      <c r="E862" s="11" t="s">
        <v>49</v>
      </c>
      <c r="F862" s="5">
        <v>1297.24</v>
      </c>
      <c r="G862" s="13" t="s">
        <v>114</v>
      </c>
      <c r="H862" s="12">
        <f t="shared" si="13"/>
        <v>-1297.24</v>
      </c>
    </row>
    <row r="863" spans="1:8">
      <c r="A863" s="14">
        <v>858</v>
      </c>
      <c r="B863" s="9">
        <v>45922</v>
      </c>
      <c r="C863" s="10" t="s">
        <v>113</v>
      </c>
      <c r="D863" s="10" t="s">
        <v>16</v>
      </c>
      <c r="E863" s="11" t="s">
        <v>39</v>
      </c>
      <c r="F863" s="5">
        <v>382.6</v>
      </c>
      <c r="G863" s="13" t="s">
        <v>114</v>
      </c>
      <c r="H863" s="12">
        <f t="shared" si="13"/>
        <v>-382.6</v>
      </c>
    </row>
    <row r="864" spans="1:8">
      <c r="A864" s="14">
        <v>859</v>
      </c>
      <c r="B864" s="9">
        <v>45922</v>
      </c>
      <c r="C864" s="10" t="s">
        <v>113</v>
      </c>
      <c r="D864" s="10" t="s">
        <v>14</v>
      </c>
      <c r="E864" s="11" t="s">
        <v>58</v>
      </c>
      <c r="F864" s="5">
        <v>532.95000000000005</v>
      </c>
      <c r="G864" s="13" t="s">
        <v>114</v>
      </c>
      <c r="H864" s="12">
        <f t="shared" si="13"/>
        <v>-532.95000000000005</v>
      </c>
    </row>
    <row r="865" spans="1:8">
      <c r="A865" s="14">
        <v>860</v>
      </c>
      <c r="B865" s="9">
        <v>45922</v>
      </c>
      <c r="C865" s="10" t="s">
        <v>113</v>
      </c>
      <c r="D865" s="10" t="s">
        <v>16</v>
      </c>
      <c r="E865" s="11" t="s">
        <v>22</v>
      </c>
      <c r="F865" s="5">
        <v>3224.68</v>
      </c>
      <c r="G865" s="13" t="s">
        <v>114</v>
      </c>
      <c r="H865" s="12">
        <f t="shared" si="13"/>
        <v>-3224.68</v>
      </c>
    </row>
    <row r="866" spans="1:8">
      <c r="A866" s="14">
        <v>861</v>
      </c>
      <c r="B866" s="9">
        <v>45922</v>
      </c>
      <c r="C866" s="10" t="s">
        <v>113</v>
      </c>
      <c r="D866" s="10" t="s">
        <v>10</v>
      </c>
      <c r="E866" s="11" t="s">
        <v>70</v>
      </c>
      <c r="F866" s="5">
        <v>2725.55</v>
      </c>
      <c r="G866" s="13" t="s">
        <v>114</v>
      </c>
      <c r="H866" s="12">
        <f t="shared" si="13"/>
        <v>-2725.55</v>
      </c>
    </row>
    <row r="867" spans="1:8">
      <c r="A867" s="14">
        <v>862</v>
      </c>
      <c r="B867" s="9">
        <v>45922</v>
      </c>
      <c r="C867" s="10" t="s">
        <v>113</v>
      </c>
      <c r="D867" s="10" t="s">
        <v>17</v>
      </c>
      <c r="E867" s="11" t="s">
        <v>48</v>
      </c>
      <c r="F867" s="5">
        <v>2245.0700000000002</v>
      </c>
      <c r="G867" s="13" t="s">
        <v>114</v>
      </c>
      <c r="H867" s="12">
        <f t="shared" si="13"/>
        <v>-2245.0700000000002</v>
      </c>
    </row>
    <row r="868" spans="1:8">
      <c r="A868" s="14">
        <v>863</v>
      </c>
      <c r="B868" s="9">
        <v>45923</v>
      </c>
      <c r="C868" s="10" t="s">
        <v>113</v>
      </c>
      <c r="D868" s="10" t="s">
        <v>10</v>
      </c>
      <c r="E868" s="11" t="s">
        <v>19</v>
      </c>
      <c r="F868" s="5">
        <v>14333.79</v>
      </c>
      <c r="G868" s="13" t="s">
        <v>114</v>
      </c>
      <c r="H868" s="12">
        <f t="shared" si="13"/>
        <v>-14333.79</v>
      </c>
    </row>
    <row r="869" spans="1:8">
      <c r="A869" s="14">
        <v>864</v>
      </c>
      <c r="B869" s="9">
        <v>45923</v>
      </c>
      <c r="C869" s="10" t="s">
        <v>113</v>
      </c>
      <c r="D869" s="10" t="s">
        <v>10</v>
      </c>
      <c r="E869" s="11" t="s">
        <v>70</v>
      </c>
      <c r="F869" s="5">
        <v>2300.6799999999998</v>
      </c>
      <c r="G869" s="13" t="s">
        <v>114</v>
      </c>
      <c r="H869" s="12">
        <f t="shared" si="13"/>
        <v>-2300.6799999999998</v>
      </c>
    </row>
    <row r="870" spans="1:8">
      <c r="A870" s="14">
        <v>865</v>
      </c>
      <c r="B870" s="9">
        <v>45923</v>
      </c>
      <c r="C870" s="10" t="s">
        <v>113</v>
      </c>
      <c r="D870" s="10" t="s">
        <v>16</v>
      </c>
      <c r="E870" s="11" t="s">
        <v>73</v>
      </c>
      <c r="F870" s="5">
        <v>292.17</v>
      </c>
      <c r="G870" s="13" t="s">
        <v>114</v>
      </c>
      <c r="H870" s="12">
        <f t="shared" si="13"/>
        <v>-292.17</v>
      </c>
    </row>
    <row r="871" spans="1:8">
      <c r="A871" s="14">
        <v>866</v>
      </c>
      <c r="B871" s="9">
        <v>45924</v>
      </c>
      <c r="C871" s="10" t="s">
        <v>113</v>
      </c>
      <c r="D871" s="10" t="s">
        <v>10</v>
      </c>
      <c r="E871" s="11" t="s">
        <v>19</v>
      </c>
      <c r="F871" s="5">
        <v>23186.54</v>
      </c>
      <c r="G871" s="13" t="s">
        <v>114</v>
      </c>
      <c r="H871" s="12">
        <f t="shared" si="13"/>
        <v>-23186.54</v>
      </c>
    </row>
    <row r="872" spans="1:8">
      <c r="A872" s="14">
        <v>867</v>
      </c>
      <c r="B872" s="9">
        <v>45924</v>
      </c>
      <c r="C872" s="10" t="s">
        <v>113</v>
      </c>
      <c r="D872" s="10" t="s">
        <v>14</v>
      </c>
      <c r="E872" s="11" t="s">
        <v>40</v>
      </c>
      <c r="F872" s="5">
        <v>5251.16</v>
      </c>
      <c r="G872" s="13" t="s">
        <v>114</v>
      </c>
      <c r="H872" s="12">
        <f t="shared" si="13"/>
        <v>-5251.16</v>
      </c>
    </row>
    <row r="873" spans="1:8">
      <c r="A873" s="14">
        <v>868</v>
      </c>
      <c r="B873" s="9">
        <v>45924</v>
      </c>
      <c r="C873" s="10" t="s">
        <v>113</v>
      </c>
      <c r="D873" s="10" t="s">
        <v>14</v>
      </c>
      <c r="E873" s="11" t="s">
        <v>52</v>
      </c>
      <c r="F873" s="5">
        <v>1284.99</v>
      </c>
      <c r="G873" s="13" t="s">
        <v>114</v>
      </c>
      <c r="H873" s="12">
        <f t="shared" si="13"/>
        <v>-1284.99</v>
      </c>
    </row>
    <row r="874" spans="1:8">
      <c r="A874" s="14">
        <v>869</v>
      </c>
      <c r="B874" s="9">
        <v>45924</v>
      </c>
      <c r="C874" s="10" t="s">
        <v>113</v>
      </c>
      <c r="D874" s="10" t="s">
        <v>9</v>
      </c>
      <c r="E874" s="11" t="s">
        <v>21</v>
      </c>
      <c r="F874" s="5">
        <v>904.9</v>
      </c>
      <c r="G874" s="13" t="s">
        <v>114</v>
      </c>
      <c r="H874" s="12">
        <f t="shared" si="13"/>
        <v>-904.9</v>
      </c>
    </row>
    <row r="875" spans="1:8">
      <c r="A875" s="14">
        <v>870</v>
      </c>
      <c r="B875" s="9">
        <v>45925</v>
      </c>
      <c r="C875" s="10" t="s">
        <v>113</v>
      </c>
      <c r="D875" s="10" t="s">
        <v>9</v>
      </c>
      <c r="E875" s="11" t="s">
        <v>21</v>
      </c>
      <c r="F875" s="5">
        <v>3922.31</v>
      </c>
      <c r="G875" s="13" t="s">
        <v>114</v>
      </c>
      <c r="H875" s="12">
        <f t="shared" si="13"/>
        <v>-3922.31</v>
      </c>
    </row>
    <row r="876" spans="1:8">
      <c r="A876" s="14">
        <v>871</v>
      </c>
      <c r="B876" s="9">
        <v>45925</v>
      </c>
      <c r="C876" s="10" t="s">
        <v>113</v>
      </c>
      <c r="D876" s="10" t="s">
        <v>9</v>
      </c>
      <c r="E876" s="11" t="s">
        <v>72</v>
      </c>
      <c r="F876" s="5">
        <v>2566.25</v>
      </c>
      <c r="G876" s="13" t="s">
        <v>114</v>
      </c>
      <c r="H876" s="12">
        <f t="shared" si="13"/>
        <v>-2566.25</v>
      </c>
    </row>
    <row r="877" spans="1:8">
      <c r="A877" s="14">
        <v>872</v>
      </c>
      <c r="B877" s="9">
        <v>45925</v>
      </c>
      <c r="C877" s="10" t="s">
        <v>113</v>
      </c>
      <c r="D877" s="10" t="s">
        <v>14</v>
      </c>
      <c r="E877" s="11" t="s">
        <v>46</v>
      </c>
      <c r="F877" s="5">
        <v>433.43</v>
      </c>
      <c r="G877" s="13" t="s">
        <v>114</v>
      </c>
      <c r="H877" s="12">
        <f t="shared" si="13"/>
        <v>-433.43</v>
      </c>
    </row>
    <row r="878" spans="1:8">
      <c r="A878" s="14">
        <v>873</v>
      </c>
      <c r="B878" s="9">
        <v>45926</v>
      </c>
      <c r="C878" s="10" t="s">
        <v>113</v>
      </c>
      <c r="D878" s="10" t="s">
        <v>16</v>
      </c>
      <c r="E878" s="11" t="s">
        <v>73</v>
      </c>
      <c r="F878" s="5">
        <v>1632.45</v>
      </c>
      <c r="G878" s="13" t="s">
        <v>114</v>
      </c>
      <c r="H878" s="12">
        <f t="shared" si="13"/>
        <v>-1632.45</v>
      </c>
    </row>
    <row r="879" spans="1:8">
      <c r="A879" s="14">
        <v>874</v>
      </c>
      <c r="B879" s="9">
        <v>45926</v>
      </c>
      <c r="C879" s="10" t="s">
        <v>113</v>
      </c>
      <c r="D879" s="10" t="s">
        <v>17</v>
      </c>
      <c r="E879" s="11" t="s">
        <v>36</v>
      </c>
      <c r="F879" s="5">
        <v>393.16</v>
      </c>
      <c r="G879" s="13" t="s">
        <v>114</v>
      </c>
      <c r="H879" s="12">
        <f t="shared" si="13"/>
        <v>-393.16</v>
      </c>
    </row>
    <row r="880" spans="1:8">
      <c r="A880" s="14">
        <v>875</v>
      </c>
      <c r="B880" s="9">
        <v>45926</v>
      </c>
      <c r="C880" s="10" t="s">
        <v>113</v>
      </c>
      <c r="D880" s="10" t="s">
        <v>14</v>
      </c>
      <c r="E880" s="11" t="s">
        <v>74</v>
      </c>
      <c r="F880" s="5">
        <v>1850.29</v>
      </c>
      <c r="G880" s="13" t="s">
        <v>114</v>
      </c>
      <c r="H880" s="12">
        <f t="shared" si="13"/>
        <v>-1850.29</v>
      </c>
    </row>
    <row r="881" spans="1:8">
      <c r="A881" s="14">
        <v>876</v>
      </c>
      <c r="B881" s="9">
        <v>45927</v>
      </c>
      <c r="C881" s="10" t="s">
        <v>113</v>
      </c>
      <c r="D881" s="10" t="s">
        <v>10</v>
      </c>
      <c r="E881" s="11" t="s">
        <v>53</v>
      </c>
      <c r="F881" s="5">
        <v>3248.79</v>
      </c>
      <c r="G881" s="13" t="s">
        <v>114</v>
      </c>
      <c r="H881" s="12">
        <f t="shared" si="13"/>
        <v>-3248.79</v>
      </c>
    </row>
    <row r="882" spans="1:8">
      <c r="A882" s="14">
        <v>877</v>
      </c>
      <c r="B882" s="9">
        <v>45928</v>
      </c>
      <c r="C882" s="10" t="s">
        <v>113</v>
      </c>
      <c r="D882" s="10" t="s">
        <v>14</v>
      </c>
      <c r="E882" s="11" t="s">
        <v>23</v>
      </c>
      <c r="F882" s="5">
        <v>5047.07</v>
      </c>
      <c r="G882" s="13" t="s">
        <v>114</v>
      </c>
      <c r="H882" s="12">
        <f t="shared" si="13"/>
        <v>-5047.07</v>
      </c>
    </row>
    <row r="883" spans="1:8">
      <c r="A883" s="14">
        <v>878</v>
      </c>
      <c r="B883" s="9">
        <v>45928</v>
      </c>
      <c r="C883" s="10" t="s">
        <v>113</v>
      </c>
      <c r="D883" s="10" t="s">
        <v>10</v>
      </c>
      <c r="E883" s="11" t="s">
        <v>30</v>
      </c>
      <c r="F883" s="5">
        <v>4796.96</v>
      </c>
      <c r="G883" s="13" t="s">
        <v>114</v>
      </c>
      <c r="H883" s="12">
        <f t="shared" si="13"/>
        <v>-4796.96</v>
      </c>
    </row>
    <row r="884" spans="1:8">
      <c r="A884" s="14">
        <v>879</v>
      </c>
      <c r="B884" s="9">
        <v>45929</v>
      </c>
      <c r="C884" s="10" t="s">
        <v>113</v>
      </c>
      <c r="D884" s="10" t="s">
        <v>15</v>
      </c>
      <c r="E884" s="11" t="s">
        <v>8</v>
      </c>
      <c r="F884" s="5">
        <v>6886.53</v>
      </c>
      <c r="G884" s="13" t="s">
        <v>114</v>
      </c>
      <c r="H884" s="12">
        <f t="shared" si="13"/>
        <v>-6886.53</v>
      </c>
    </row>
    <row r="885" spans="1:8">
      <c r="A885" s="14">
        <v>880</v>
      </c>
      <c r="B885" s="9">
        <v>45929</v>
      </c>
      <c r="C885" s="10" t="s">
        <v>113</v>
      </c>
      <c r="D885" s="10" t="s">
        <v>9</v>
      </c>
      <c r="E885" s="11" t="s">
        <v>56</v>
      </c>
      <c r="F885" s="5">
        <v>1529.96</v>
      </c>
      <c r="G885" s="13" t="s">
        <v>114</v>
      </c>
      <c r="H885" s="12">
        <f t="shared" si="13"/>
        <v>-1529.96</v>
      </c>
    </row>
    <row r="886" spans="1:8">
      <c r="A886" s="14">
        <v>881</v>
      </c>
      <c r="B886" s="9">
        <v>45929</v>
      </c>
      <c r="C886" s="10" t="s">
        <v>113</v>
      </c>
      <c r="D886" s="10" t="s">
        <v>15</v>
      </c>
      <c r="E886" s="11" t="s">
        <v>55</v>
      </c>
      <c r="F886" s="5">
        <v>1642.71</v>
      </c>
      <c r="G886" s="13" t="s">
        <v>114</v>
      </c>
      <c r="H886" s="12">
        <f t="shared" si="13"/>
        <v>-1642.71</v>
      </c>
    </row>
    <row r="887" spans="1:8">
      <c r="A887" s="14">
        <v>882</v>
      </c>
      <c r="B887" s="9">
        <v>45930</v>
      </c>
      <c r="C887" s="10" t="s">
        <v>113</v>
      </c>
      <c r="D887" s="10" t="s">
        <v>9</v>
      </c>
      <c r="E887" s="11" t="s">
        <v>50</v>
      </c>
      <c r="F887" s="5">
        <v>1137.8599999999999</v>
      </c>
      <c r="G887" s="13" t="s">
        <v>114</v>
      </c>
      <c r="H887" s="12">
        <f t="shared" si="13"/>
        <v>-1137.8599999999999</v>
      </c>
    </row>
    <row r="888" spans="1:8">
      <c r="A888" s="14">
        <v>883</v>
      </c>
      <c r="B888" s="9">
        <v>45930</v>
      </c>
      <c r="C888" s="10" t="s">
        <v>113</v>
      </c>
      <c r="D888" s="10" t="s">
        <v>14</v>
      </c>
      <c r="E888" s="11" t="s">
        <v>40</v>
      </c>
      <c r="F888" s="5">
        <v>8303.2900000000009</v>
      </c>
      <c r="G888" s="13" t="s">
        <v>114</v>
      </c>
      <c r="H888" s="12">
        <f t="shared" si="13"/>
        <v>-8303.2900000000009</v>
      </c>
    </row>
    <row r="889" spans="1:8">
      <c r="A889" s="14">
        <v>884</v>
      </c>
      <c r="B889" s="9">
        <v>45931</v>
      </c>
      <c r="C889" s="10" t="s">
        <v>113</v>
      </c>
      <c r="D889" s="10" t="s">
        <v>17</v>
      </c>
      <c r="E889" s="11" t="s">
        <v>20</v>
      </c>
      <c r="F889" s="5">
        <v>367.53</v>
      </c>
      <c r="G889" s="13" t="s">
        <v>114</v>
      </c>
      <c r="H889" s="12">
        <f t="shared" si="13"/>
        <v>-367.53</v>
      </c>
    </row>
    <row r="890" spans="1:8">
      <c r="A890" s="14">
        <v>885</v>
      </c>
      <c r="B890" s="9">
        <v>45931</v>
      </c>
      <c r="C890" s="10" t="s">
        <v>113</v>
      </c>
      <c r="D890" s="10" t="s">
        <v>10</v>
      </c>
      <c r="E890" s="11" t="s">
        <v>19</v>
      </c>
      <c r="F890" s="5">
        <v>22747.26</v>
      </c>
      <c r="G890" s="13" t="s">
        <v>114</v>
      </c>
      <c r="H890" s="12">
        <f t="shared" si="13"/>
        <v>-22747.26</v>
      </c>
    </row>
    <row r="891" spans="1:8">
      <c r="A891" s="14">
        <v>886</v>
      </c>
      <c r="B891" s="9">
        <v>45931</v>
      </c>
      <c r="C891" s="10" t="s">
        <v>113</v>
      </c>
      <c r="D891" s="10" t="s">
        <v>15</v>
      </c>
      <c r="E891" s="11" t="s">
        <v>55</v>
      </c>
      <c r="F891" s="5">
        <v>1334.6</v>
      </c>
      <c r="G891" s="13" t="s">
        <v>114</v>
      </c>
      <c r="H891" s="12">
        <f t="shared" si="13"/>
        <v>-1334.6</v>
      </c>
    </row>
    <row r="892" spans="1:8">
      <c r="A892" s="14">
        <v>887</v>
      </c>
      <c r="B892" s="9">
        <v>45931</v>
      </c>
      <c r="C892" s="10" t="s">
        <v>113</v>
      </c>
      <c r="D892" s="10" t="s">
        <v>14</v>
      </c>
      <c r="E892" s="11" t="s">
        <v>74</v>
      </c>
      <c r="F892" s="5">
        <v>1294.7</v>
      </c>
      <c r="G892" s="13" t="s">
        <v>114</v>
      </c>
      <c r="H892" s="12">
        <f t="shared" si="13"/>
        <v>-1294.7</v>
      </c>
    </row>
    <row r="893" spans="1:8">
      <c r="A893" s="14">
        <v>888</v>
      </c>
      <c r="B893" s="9">
        <v>45931</v>
      </c>
      <c r="C893" s="10" t="s">
        <v>113</v>
      </c>
      <c r="D893" s="10" t="s">
        <v>9</v>
      </c>
      <c r="E893" s="11" t="s">
        <v>27</v>
      </c>
      <c r="F893" s="5">
        <v>1987.08</v>
      </c>
      <c r="G893" s="13" t="s">
        <v>114</v>
      </c>
      <c r="H893" s="12">
        <f t="shared" si="13"/>
        <v>-1987.08</v>
      </c>
    </row>
    <row r="894" spans="1:8">
      <c r="A894" s="14">
        <v>889</v>
      </c>
      <c r="B894" s="9">
        <v>45932</v>
      </c>
      <c r="C894" s="10" t="s">
        <v>113</v>
      </c>
      <c r="D894" s="10" t="s">
        <v>15</v>
      </c>
      <c r="E894" s="11" t="s">
        <v>8</v>
      </c>
      <c r="F894" s="5">
        <v>2923.73</v>
      </c>
      <c r="G894" s="13" t="s">
        <v>114</v>
      </c>
      <c r="H894" s="12">
        <f t="shared" si="13"/>
        <v>-2923.73</v>
      </c>
    </row>
    <row r="895" spans="1:8">
      <c r="A895" s="14">
        <v>890</v>
      </c>
      <c r="B895" s="9">
        <v>45932</v>
      </c>
      <c r="C895" s="10" t="s">
        <v>113</v>
      </c>
      <c r="D895" s="10" t="s">
        <v>9</v>
      </c>
      <c r="E895" s="11" t="s">
        <v>32</v>
      </c>
      <c r="F895" s="5">
        <v>556.38</v>
      </c>
      <c r="G895" s="13" t="s">
        <v>114</v>
      </c>
      <c r="H895" s="12">
        <f t="shared" si="13"/>
        <v>-556.38</v>
      </c>
    </row>
    <row r="896" spans="1:8">
      <c r="A896" s="14">
        <v>891</v>
      </c>
      <c r="B896" s="9">
        <v>45933</v>
      </c>
      <c r="C896" s="10" t="s">
        <v>113</v>
      </c>
      <c r="D896" s="10" t="s">
        <v>15</v>
      </c>
      <c r="E896" s="11" t="s">
        <v>26</v>
      </c>
      <c r="F896" s="5">
        <v>2979.73</v>
      </c>
      <c r="G896" s="13" t="s">
        <v>114</v>
      </c>
      <c r="H896" s="12">
        <f t="shared" si="13"/>
        <v>-2979.73</v>
      </c>
    </row>
    <row r="897" spans="1:8">
      <c r="A897" s="14">
        <v>892</v>
      </c>
      <c r="B897" s="9">
        <v>45933</v>
      </c>
      <c r="C897" s="10" t="s">
        <v>113</v>
      </c>
      <c r="D897" s="10" t="s">
        <v>16</v>
      </c>
      <c r="E897" s="11" t="s">
        <v>45</v>
      </c>
      <c r="F897" s="5">
        <v>6169.54</v>
      </c>
      <c r="G897" s="13" t="s">
        <v>114</v>
      </c>
      <c r="H897" s="12">
        <f t="shared" si="13"/>
        <v>-6169.54</v>
      </c>
    </row>
    <row r="898" spans="1:8">
      <c r="A898" s="14">
        <v>893</v>
      </c>
      <c r="B898" s="9">
        <v>45933</v>
      </c>
      <c r="C898" s="10" t="s">
        <v>113</v>
      </c>
      <c r="D898" s="10" t="s">
        <v>10</v>
      </c>
      <c r="E898" s="11" t="s">
        <v>24</v>
      </c>
      <c r="F898" s="5">
        <v>8000.82</v>
      </c>
      <c r="G898" s="13" t="s">
        <v>114</v>
      </c>
      <c r="H898" s="12">
        <f t="shared" si="13"/>
        <v>-8000.82</v>
      </c>
    </row>
    <row r="899" spans="1:8">
      <c r="A899" s="14">
        <v>894</v>
      </c>
      <c r="B899" s="9">
        <v>45936</v>
      </c>
      <c r="C899" s="10" t="s">
        <v>113</v>
      </c>
      <c r="D899" s="10" t="s">
        <v>14</v>
      </c>
      <c r="E899" s="11" t="s">
        <v>52</v>
      </c>
      <c r="F899" s="5">
        <v>768.63</v>
      </c>
      <c r="G899" s="13" t="s">
        <v>114</v>
      </c>
      <c r="H899" s="12">
        <f t="shared" si="13"/>
        <v>-768.63</v>
      </c>
    </row>
    <row r="900" spans="1:8">
      <c r="A900" s="14">
        <v>895</v>
      </c>
      <c r="B900" s="9">
        <v>45936</v>
      </c>
      <c r="C900" s="10" t="s">
        <v>113</v>
      </c>
      <c r="D900" s="10" t="s">
        <v>9</v>
      </c>
      <c r="E900" s="11" t="s">
        <v>32</v>
      </c>
      <c r="F900" s="5">
        <v>1280.24</v>
      </c>
      <c r="G900" s="13" t="s">
        <v>114</v>
      </c>
      <c r="H900" s="12">
        <f t="shared" si="13"/>
        <v>-1280.24</v>
      </c>
    </row>
    <row r="901" spans="1:8">
      <c r="A901" s="14">
        <v>896</v>
      </c>
      <c r="B901" s="9">
        <v>45936</v>
      </c>
      <c r="C901" s="10" t="s">
        <v>113</v>
      </c>
      <c r="D901" s="10" t="s">
        <v>14</v>
      </c>
      <c r="E901" s="11" t="s">
        <v>64</v>
      </c>
      <c r="F901" s="5">
        <v>1726.06</v>
      </c>
      <c r="G901" s="13" t="s">
        <v>114</v>
      </c>
      <c r="H901" s="12">
        <f t="shared" ref="H901:H964" si="14">IF(C901="Despesa", F901*-1, F901)</f>
        <v>-1726.06</v>
      </c>
    </row>
    <row r="902" spans="1:8">
      <c r="A902" s="14">
        <v>897</v>
      </c>
      <c r="B902" s="9">
        <v>45936</v>
      </c>
      <c r="C902" s="10" t="s">
        <v>113</v>
      </c>
      <c r="D902" s="10" t="s">
        <v>17</v>
      </c>
      <c r="E902" s="11" t="s">
        <v>36</v>
      </c>
      <c r="F902" s="5">
        <v>1871.07</v>
      </c>
      <c r="G902" s="13" t="s">
        <v>114</v>
      </c>
      <c r="H902" s="12">
        <f t="shared" si="14"/>
        <v>-1871.07</v>
      </c>
    </row>
    <row r="903" spans="1:8">
      <c r="A903" s="14">
        <v>898</v>
      </c>
      <c r="B903" s="9">
        <v>45936</v>
      </c>
      <c r="C903" s="10" t="s">
        <v>113</v>
      </c>
      <c r="D903" s="10" t="s">
        <v>16</v>
      </c>
      <c r="E903" s="11" t="s">
        <v>73</v>
      </c>
      <c r="F903" s="5">
        <v>961.51</v>
      </c>
      <c r="G903" s="13" t="s">
        <v>114</v>
      </c>
      <c r="H903" s="12">
        <f t="shared" si="14"/>
        <v>-961.51</v>
      </c>
    </row>
    <row r="904" spans="1:8">
      <c r="A904" s="14">
        <v>899</v>
      </c>
      <c r="B904" s="9">
        <v>45937</v>
      </c>
      <c r="C904" s="10" t="s">
        <v>113</v>
      </c>
      <c r="D904" s="10" t="s">
        <v>15</v>
      </c>
      <c r="E904" s="11" t="s">
        <v>37</v>
      </c>
      <c r="F904" s="5">
        <v>776.08</v>
      </c>
      <c r="G904" s="13" t="s">
        <v>114</v>
      </c>
      <c r="H904" s="12">
        <f t="shared" si="14"/>
        <v>-776.08</v>
      </c>
    </row>
    <row r="905" spans="1:8">
      <c r="A905" s="14">
        <v>900</v>
      </c>
      <c r="B905" s="9">
        <v>45937</v>
      </c>
      <c r="C905" s="10" t="s">
        <v>113</v>
      </c>
      <c r="D905" s="10" t="s">
        <v>16</v>
      </c>
      <c r="E905" s="11" t="s">
        <v>73</v>
      </c>
      <c r="F905" s="5">
        <v>2231.94</v>
      </c>
      <c r="G905" s="13" t="s">
        <v>114</v>
      </c>
      <c r="H905" s="12">
        <f t="shared" si="14"/>
        <v>-2231.94</v>
      </c>
    </row>
    <row r="906" spans="1:8">
      <c r="A906" s="14">
        <v>901</v>
      </c>
      <c r="B906" s="9">
        <v>45937</v>
      </c>
      <c r="C906" s="10" t="s">
        <v>113</v>
      </c>
      <c r="D906" s="10" t="s">
        <v>14</v>
      </c>
      <c r="E906" s="11" t="s">
        <v>40</v>
      </c>
      <c r="F906" s="5">
        <v>5111.99</v>
      </c>
      <c r="G906" s="13" t="s">
        <v>114</v>
      </c>
      <c r="H906" s="12">
        <f t="shared" si="14"/>
        <v>-5111.99</v>
      </c>
    </row>
    <row r="907" spans="1:8">
      <c r="A907" s="14">
        <v>902</v>
      </c>
      <c r="B907" s="9">
        <v>45937</v>
      </c>
      <c r="C907" s="10" t="s">
        <v>113</v>
      </c>
      <c r="D907" s="10" t="s">
        <v>16</v>
      </c>
      <c r="E907" s="11" t="s">
        <v>57</v>
      </c>
      <c r="F907" s="5">
        <v>1398.18</v>
      </c>
      <c r="G907" s="13" t="s">
        <v>114</v>
      </c>
      <c r="H907" s="12">
        <f t="shared" si="14"/>
        <v>-1398.18</v>
      </c>
    </row>
    <row r="908" spans="1:8">
      <c r="A908" s="14">
        <v>903</v>
      </c>
      <c r="B908" s="9">
        <v>45938</v>
      </c>
      <c r="C908" s="10" t="s">
        <v>113</v>
      </c>
      <c r="D908" s="10" t="s">
        <v>17</v>
      </c>
      <c r="E908" s="11" t="s">
        <v>54</v>
      </c>
      <c r="F908" s="5">
        <v>2143.62</v>
      </c>
      <c r="G908" s="13" t="s">
        <v>114</v>
      </c>
      <c r="H908" s="12">
        <f t="shared" si="14"/>
        <v>-2143.62</v>
      </c>
    </row>
    <row r="909" spans="1:8">
      <c r="A909" s="14">
        <v>904</v>
      </c>
      <c r="B909" s="9">
        <v>45938</v>
      </c>
      <c r="C909" s="10" t="s">
        <v>113</v>
      </c>
      <c r="D909" s="10" t="s">
        <v>9</v>
      </c>
      <c r="E909" s="11" t="s">
        <v>21</v>
      </c>
      <c r="F909" s="5">
        <v>707.01</v>
      </c>
      <c r="G909" s="13" t="s">
        <v>114</v>
      </c>
      <c r="H909" s="12">
        <f t="shared" si="14"/>
        <v>-707.01</v>
      </c>
    </row>
    <row r="910" spans="1:8">
      <c r="A910" s="14">
        <v>905</v>
      </c>
      <c r="B910" s="9">
        <v>45938</v>
      </c>
      <c r="C910" s="10" t="s">
        <v>113</v>
      </c>
      <c r="D910" s="10" t="s">
        <v>14</v>
      </c>
      <c r="E910" s="11" t="s">
        <v>34</v>
      </c>
      <c r="F910" s="5">
        <v>4957.18</v>
      </c>
      <c r="G910" s="13" t="s">
        <v>114</v>
      </c>
      <c r="H910" s="12">
        <f t="shared" si="14"/>
        <v>-4957.18</v>
      </c>
    </row>
    <row r="911" spans="1:8">
      <c r="A911" s="14">
        <v>906</v>
      </c>
      <c r="B911" s="9">
        <v>45938</v>
      </c>
      <c r="C911" s="10" t="s">
        <v>113</v>
      </c>
      <c r="D911" s="10" t="s">
        <v>10</v>
      </c>
      <c r="E911" s="11" t="s">
        <v>41</v>
      </c>
      <c r="F911" s="5">
        <v>6552.04</v>
      </c>
      <c r="G911" s="13" t="s">
        <v>114</v>
      </c>
      <c r="H911" s="12">
        <f t="shared" si="14"/>
        <v>-6552.04</v>
      </c>
    </row>
    <row r="912" spans="1:8">
      <c r="A912" s="14">
        <v>907</v>
      </c>
      <c r="B912" s="9">
        <v>45938</v>
      </c>
      <c r="C912" s="10" t="s">
        <v>113</v>
      </c>
      <c r="D912" s="10" t="s">
        <v>15</v>
      </c>
      <c r="E912" s="11" t="s">
        <v>26</v>
      </c>
      <c r="F912" s="5">
        <v>4756.8500000000004</v>
      </c>
      <c r="G912" s="13" t="s">
        <v>114</v>
      </c>
      <c r="H912" s="12">
        <f t="shared" si="14"/>
        <v>-4756.8500000000004</v>
      </c>
    </row>
    <row r="913" spans="1:8">
      <c r="A913" s="14">
        <v>908</v>
      </c>
      <c r="B913" s="9">
        <v>45938</v>
      </c>
      <c r="C913" s="10" t="s">
        <v>113</v>
      </c>
      <c r="D913" s="10" t="s">
        <v>10</v>
      </c>
      <c r="E913" s="11" t="s">
        <v>47</v>
      </c>
      <c r="F913" s="5">
        <v>27836.53</v>
      </c>
      <c r="G913" s="13" t="s">
        <v>114</v>
      </c>
      <c r="H913" s="12">
        <f t="shared" si="14"/>
        <v>-27836.53</v>
      </c>
    </row>
    <row r="914" spans="1:8">
      <c r="A914" s="14">
        <v>909</v>
      </c>
      <c r="B914" s="9">
        <v>45938</v>
      </c>
      <c r="C914" s="10" t="s">
        <v>113</v>
      </c>
      <c r="D914" s="10" t="s">
        <v>10</v>
      </c>
      <c r="E914" s="11" t="s">
        <v>53</v>
      </c>
      <c r="F914" s="5">
        <v>3998.33</v>
      </c>
      <c r="G914" s="13" t="s">
        <v>114</v>
      </c>
      <c r="H914" s="12">
        <f t="shared" si="14"/>
        <v>-3998.33</v>
      </c>
    </row>
    <row r="915" spans="1:8">
      <c r="A915" s="14">
        <v>910</v>
      </c>
      <c r="B915" s="9">
        <v>45939</v>
      </c>
      <c r="C915" s="10" t="s">
        <v>113</v>
      </c>
      <c r="D915" s="10" t="s">
        <v>10</v>
      </c>
      <c r="E915" s="11" t="s">
        <v>65</v>
      </c>
      <c r="F915" s="5">
        <v>3284.96</v>
      </c>
      <c r="G915" s="13" t="s">
        <v>114</v>
      </c>
      <c r="H915" s="12">
        <f t="shared" si="14"/>
        <v>-3284.96</v>
      </c>
    </row>
    <row r="916" spans="1:8">
      <c r="A916" s="14">
        <v>911</v>
      </c>
      <c r="B916" s="9">
        <v>45939</v>
      </c>
      <c r="C916" s="10" t="s">
        <v>113</v>
      </c>
      <c r="D916" s="10" t="s">
        <v>17</v>
      </c>
      <c r="E916" s="11" t="s">
        <v>20</v>
      </c>
      <c r="F916" s="5">
        <v>580.91</v>
      </c>
      <c r="G916" s="13" t="s">
        <v>114</v>
      </c>
      <c r="H916" s="12">
        <f t="shared" si="14"/>
        <v>-580.91</v>
      </c>
    </row>
    <row r="917" spans="1:8">
      <c r="A917" s="14">
        <v>912</v>
      </c>
      <c r="B917" s="9">
        <v>45939</v>
      </c>
      <c r="C917" s="10" t="s">
        <v>113</v>
      </c>
      <c r="D917" s="10" t="s">
        <v>10</v>
      </c>
      <c r="E917" s="11" t="s">
        <v>53</v>
      </c>
      <c r="F917" s="5">
        <v>3255.14</v>
      </c>
      <c r="G917" s="13" t="s">
        <v>114</v>
      </c>
      <c r="H917" s="12">
        <f t="shared" si="14"/>
        <v>-3255.14</v>
      </c>
    </row>
    <row r="918" spans="1:8">
      <c r="A918" s="14">
        <v>913</v>
      </c>
      <c r="B918" s="9">
        <v>45939</v>
      </c>
      <c r="C918" s="10" t="s">
        <v>113</v>
      </c>
      <c r="D918" s="10" t="s">
        <v>14</v>
      </c>
      <c r="E918" s="11" t="s">
        <v>74</v>
      </c>
      <c r="F918" s="5">
        <v>392.53</v>
      </c>
      <c r="G918" s="13" t="s">
        <v>114</v>
      </c>
      <c r="H918" s="12">
        <f t="shared" si="14"/>
        <v>-392.53</v>
      </c>
    </row>
    <row r="919" spans="1:8">
      <c r="A919" s="14">
        <v>914</v>
      </c>
      <c r="B919" s="9">
        <v>45939</v>
      </c>
      <c r="C919" s="10" t="s">
        <v>113</v>
      </c>
      <c r="D919" s="10" t="s">
        <v>9</v>
      </c>
      <c r="E919" s="11" t="s">
        <v>32</v>
      </c>
      <c r="F919" s="5">
        <v>985.93</v>
      </c>
      <c r="G919" s="13" t="s">
        <v>114</v>
      </c>
      <c r="H919" s="12">
        <f t="shared" si="14"/>
        <v>-985.93</v>
      </c>
    </row>
    <row r="920" spans="1:8">
      <c r="A920" s="14">
        <v>915</v>
      </c>
      <c r="B920" s="9">
        <v>45939</v>
      </c>
      <c r="C920" s="10" t="s">
        <v>113</v>
      </c>
      <c r="D920" s="10" t="s">
        <v>15</v>
      </c>
      <c r="E920" s="11" t="s">
        <v>43</v>
      </c>
      <c r="F920" s="5">
        <v>1629.75</v>
      </c>
      <c r="G920" s="13" t="s">
        <v>114</v>
      </c>
      <c r="H920" s="12">
        <f t="shared" si="14"/>
        <v>-1629.75</v>
      </c>
    </row>
    <row r="921" spans="1:8">
      <c r="A921" s="14">
        <v>916</v>
      </c>
      <c r="B921" s="9">
        <v>45939</v>
      </c>
      <c r="C921" s="10" t="s">
        <v>113</v>
      </c>
      <c r="D921" s="10" t="s">
        <v>14</v>
      </c>
      <c r="E921" s="11" t="s">
        <v>46</v>
      </c>
      <c r="F921" s="5">
        <v>1104.79</v>
      </c>
      <c r="G921" s="13" t="s">
        <v>114</v>
      </c>
      <c r="H921" s="12">
        <f t="shared" si="14"/>
        <v>-1104.79</v>
      </c>
    </row>
    <row r="922" spans="1:8">
      <c r="A922" s="14">
        <v>917</v>
      </c>
      <c r="B922" s="9">
        <v>45940</v>
      </c>
      <c r="C922" s="10" t="s">
        <v>113</v>
      </c>
      <c r="D922" s="10" t="s">
        <v>14</v>
      </c>
      <c r="E922" s="11" t="s">
        <v>23</v>
      </c>
      <c r="F922" s="5">
        <v>4800.79</v>
      </c>
      <c r="G922" s="13" t="s">
        <v>114</v>
      </c>
      <c r="H922" s="12">
        <f t="shared" si="14"/>
        <v>-4800.79</v>
      </c>
    </row>
    <row r="923" spans="1:8">
      <c r="A923" s="14">
        <v>918</v>
      </c>
      <c r="B923" s="9">
        <v>45940</v>
      </c>
      <c r="C923" s="10" t="s">
        <v>113</v>
      </c>
      <c r="D923" s="10" t="s">
        <v>17</v>
      </c>
      <c r="E923" s="11" t="s">
        <v>25</v>
      </c>
      <c r="F923" s="5">
        <v>3730.73</v>
      </c>
      <c r="G923" s="13" t="s">
        <v>114</v>
      </c>
      <c r="H923" s="12">
        <f t="shared" si="14"/>
        <v>-3730.73</v>
      </c>
    </row>
    <row r="924" spans="1:8">
      <c r="A924" s="14">
        <v>919</v>
      </c>
      <c r="B924" s="9">
        <v>45940</v>
      </c>
      <c r="C924" s="10" t="s">
        <v>113</v>
      </c>
      <c r="D924" s="10" t="s">
        <v>17</v>
      </c>
      <c r="E924" s="11" t="s">
        <v>42</v>
      </c>
      <c r="F924" s="5">
        <v>815.29</v>
      </c>
      <c r="G924" s="13" t="s">
        <v>114</v>
      </c>
      <c r="H924" s="12">
        <f t="shared" si="14"/>
        <v>-815.29</v>
      </c>
    </row>
    <row r="925" spans="1:8">
      <c r="A925" s="14">
        <v>920</v>
      </c>
      <c r="B925" s="9">
        <v>45940</v>
      </c>
      <c r="C925" s="10" t="s">
        <v>113</v>
      </c>
      <c r="D925" s="10" t="s">
        <v>17</v>
      </c>
      <c r="E925" s="11" t="s">
        <v>36</v>
      </c>
      <c r="F925" s="5">
        <v>1299.4100000000001</v>
      </c>
      <c r="G925" s="13" t="s">
        <v>114</v>
      </c>
      <c r="H925" s="12">
        <f t="shared" si="14"/>
        <v>-1299.4100000000001</v>
      </c>
    </row>
    <row r="926" spans="1:8">
      <c r="A926" s="14">
        <v>921</v>
      </c>
      <c r="B926" s="9">
        <v>45941</v>
      </c>
      <c r="C926" s="10" t="s">
        <v>113</v>
      </c>
      <c r="D926" s="10" t="s">
        <v>14</v>
      </c>
      <c r="E926" s="11" t="s">
        <v>74</v>
      </c>
      <c r="F926" s="5">
        <v>2281.86</v>
      </c>
      <c r="G926" s="13" t="s">
        <v>114</v>
      </c>
      <c r="H926" s="12">
        <f t="shared" si="14"/>
        <v>-2281.86</v>
      </c>
    </row>
    <row r="927" spans="1:8">
      <c r="A927" s="14">
        <v>922</v>
      </c>
      <c r="B927" s="9">
        <v>45941</v>
      </c>
      <c r="C927" s="10" t="s">
        <v>113</v>
      </c>
      <c r="D927" s="10" t="s">
        <v>9</v>
      </c>
      <c r="E927" s="11" t="s">
        <v>50</v>
      </c>
      <c r="F927" s="5">
        <v>653.74</v>
      </c>
      <c r="G927" s="13" t="s">
        <v>114</v>
      </c>
      <c r="H927" s="12">
        <f t="shared" si="14"/>
        <v>-653.74</v>
      </c>
    </row>
    <row r="928" spans="1:8">
      <c r="A928" s="14">
        <v>923</v>
      </c>
      <c r="B928" s="9">
        <v>45942</v>
      </c>
      <c r="C928" s="10" t="s">
        <v>113</v>
      </c>
      <c r="D928" s="10" t="s">
        <v>15</v>
      </c>
      <c r="E928" s="11" t="s">
        <v>43</v>
      </c>
      <c r="F928" s="5">
        <v>1169.5899999999999</v>
      </c>
      <c r="G928" s="13" t="s">
        <v>114</v>
      </c>
      <c r="H928" s="12">
        <f t="shared" si="14"/>
        <v>-1169.5899999999999</v>
      </c>
    </row>
    <row r="929" spans="1:8">
      <c r="A929" s="14">
        <v>924</v>
      </c>
      <c r="B929" s="9">
        <v>45942</v>
      </c>
      <c r="C929" s="10" t="s">
        <v>113</v>
      </c>
      <c r="D929" s="10" t="s">
        <v>9</v>
      </c>
      <c r="E929" s="11" t="s">
        <v>21</v>
      </c>
      <c r="F929" s="5">
        <v>2921.15</v>
      </c>
      <c r="G929" s="13" t="s">
        <v>114</v>
      </c>
      <c r="H929" s="12">
        <f t="shared" si="14"/>
        <v>-2921.15</v>
      </c>
    </row>
    <row r="930" spans="1:8">
      <c r="A930" s="14">
        <v>925</v>
      </c>
      <c r="B930" s="9">
        <v>45943</v>
      </c>
      <c r="C930" s="10" t="s">
        <v>113</v>
      </c>
      <c r="D930" s="10" t="s">
        <v>16</v>
      </c>
      <c r="E930" s="11" t="s">
        <v>22</v>
      </c>
      <c r="F930" s="5">
        <v>2284.94</v>
      </c>
      <c r="G930" s="13" t="s">
        <v>114</v>
      </c>
      <c r="H930" s="12">
        <f t="shared" si="14"/>
        <v>-2284.94</v>
      </c>
    </row>
    <row r="931" spans="1:8">
      <c r="A931" s="14">
        <v>926</v>
      </c>
      <c r="B931" s="9">
        <v>45943</v>
      </c>
      <c r="C931" s="10" t="s">
        <v>113</v>
      </c>
      <c r="D931" s="10" t="s">
        <v>9</v>
      </c>
      <c r="E931" s="11" t="s">
        <v>32</v>
      </c>
      <c r="F931" s="5">
        <v>1565.16</v>
      </c>
      <c r="G931" s="13" t="s">
        <v>114</v>
      </c>
      <c r="H931" s="12">
        <f t="shared" si="14"/>
        <v>-1565.16</v>
      </c>
    </row>
    <row r="932" spans="1:8">
      <c r="A932" s="14">
        <v>927</v>
      </c>
      <c r="B932" s="9">
        <v>45943</v>
      </c>
      <c r="C932" s="10" t="s">
        <v>113</v>
      </c>
      <c r="D932" s="10" t="s">
        <v>9</v>
      </c>
      <c r="E932" s="11" t="s">
        <v>50</v>
      </c>
      <c r="F932" s="5">
        <v>1645.75</v>
      </c>
      <c r="G932" s="13" t="s">
        <v>114</v>
      </c>
      <c r="H932" s="12">
        <f t="shared" si="14"/>
        <v>-1645.75</v>
      </c>
    </row>
    <row r="933" spans="1:8">
      <c r="A933" s="14">
        <v>928</v>
      </c>
      <c r="B933" s="9">
        <v>45943</v>
      </c>
      <c r="C933" s="10" t="s">
        <v>113</v>
      </c>
      <c r="D933" s="10" t="s">
        <v>9</v>
      </c>
      <c r="E933" s="11" t="s">
        <v>21</v>
      </c>
      <c r="F933" s="5">
        <v>4327.3</v>
      </c>
      <c r="G933" s="13" t="s">
        <v>114</v>
      </c>
      <c r="H933" s="12">
        <f t="shared" si="14"/>
        <v>-4327.3</v>
      </c>
    </row>
    <row r="934" spans="1:8">
      <c r="A934" s="14">
        <v>929</v>
      </c>
      <c r="B934" s="9">
        <v>45944</v>
      </c>
      <c r="C934" s="10" t="s">
        <v>113</v>
      </c>
      <c r="D934" s="10" t="s">
        <v>16</v>
      </c>
      <c r="E934" s="11" t="s">
        <v>33</v>
      </c>
      <c r="F934" s="5">
        <v>593.84</v>
      </c>
      <c r="G934" s="13" t="s">
        <v>114</v>
      </c>
      <c r="H934" s="12">
        <f t="shared" si="14"/>
        <v>-593.84</v>
      </c>
    </row>
    <row r="935" spans="1:8">
      <c r="A935" s="14">
        <v>930</v>
      </c>
      <c r="B935" s="9">
        <v>45944</v>
      </c>
      <c r="C935" s="10" t="s">
        <v>113</v>
      </c>
      <c r="D935" s="10" t="s">
        <v>10</v>
      </c>
      <c r="E935" s="11" t="s">
        <v>70</v>
      </c>
      <c r="F935" s="5">
        <v>2639.26</v>
      </c>
      <c r="G935" s="13" t="s">
        <v>114</v>
      </c>
      <c r="H935" s="12">
        <f t="shared" si="14"/>
        <v>-2639.26</v>
      </c>
    </row>
    <row r="936" spans="1:8">
      <c r="A936" s="14">
        <v>931</v>
      </c>
      <c r="B936" s="9">
        <v>45944</v>
      </c>
      <c r="C936" s="10" t="s">
        <v>113</v>
      </c>
      <c r="D936" s="10" t="s">
        <v>17</v>
      </c>
      <c r="E936" s="11" t="s">
        <v>54</v>
      </c>
      <c r="F936" s="5">
        <v>4091.58</v>
      </c>
      <c r="G936" s="13" t="s">
        <v>114</v>
      </c>
      <c r="H936" s="12">
        <f t="shared" si="14"/>
        <v>-4091.58</v>
      </c>
    </row>
    <row r="937" spans="1:8">
      <c r="A937" s="14">
        <v>932</v>
      </c>
      <c r="B937" s="9">
        <v>45944</v>
      </c>
      <c r="C937" s="10" t="s">
        <v>113</v>
      </c>
      <c r="D937" s="10" t="s">
        <v>17</v>
      </c>
      <c r="E937" s="11" t="s">
        <v>31</v>
      </c>
      <c r="F937" s="5">
        <v>8387.66</v>
      </c>
      <c r="G937" s="13" t="s">
        <v>114</v>
      </c>
      <c r="H937" s="12">
        <f t="shared" si="14"/>
        <v>-8387.66</v>
      </c>
    </row>
    <row r="938" spans="1:8">
      <c r="A938" s="14">
        <v>933</v>
      </c>
      <c r="B938" s="9">
        <v>45944</v>
      </c>
      <c r="C938" s="10" t="s">
        <v>113</v>
      </c>
      <c r="D938" s="10" t="s">
        <v>10</v>
      </c>
      <c r="E938" s="11" t="s">
        <v>53</v>
      </c>
      <c r="F938" s="5">
        <v>2492.92</v>
      </c>
      <c r="G938" s="13" t="s">
        <v>114</v>
      </c>
      <c r="H938" s="12">
        <f t="shared" si="14"/>
        <v>-2492.92</v>
      </c>
    </row>
    <row r="939" spans="1:8">
      <c r="A939" s="14">
        <v>934</v>
      </c>
      <c r="B939" s="9">
        <v>45945</v>
      </c>
      <c r="C939" s="10" t="s">
        <v>113</v>
      </c>
      <c r="D939" s="10" t="s">
        <v>15</v>
      </c>
      <c r="E939" s="11" t="s">
        <v>55</v>
      </c>
      <c r="F939" s="5">
        <v>1794.62</v>
      </c>
      <c r="G939" s="13" t="s">
        <v>114</v>
      </c>
      <c r="H939" s="12">
        <f t="shared" si="14"/>
        <v>-1794.62</v>
      </c>
    </row>
    <row r="940" spans="1:8">
      <c r="A940" s="14">
        <v>935</v>
      </c>
      <c r="B940" s="9">
        <v>45945</v>
      </c>
      <c r="C940" s="10" t="s">
        <v>113</v>
      </c>
      <c r="D940" s="10" t="s">
        <v>15</v>
      </c>
      <c r="E940" s="11" t="s">
        <v>55</v>
      </c>
      <c r="F940" s="5">
        <v>1105.55</v>
      </c>
      <c r="G940" s="13" t="s">
        <v>114</v>
      </c>
      <c r="H940" s="12">
        <f t="shared" si="14"/>
        <v>-1105.55</v>
      </c>
    </row>
    <row r="941" spans="1:8">
      <c r="A941" s="14">
        <v>936</v>
      </c>
      <c r="B941" s="9">
        <v>45945</v>
      </c>
      <c r="C941" s="10" t="s">
        <v>113</v>
      </c>
      <c r="D941" s="10" t="s">
        <v>10</v>
      </c>
      <c r="E941" s="11" t="s">
        <v>24</v>
      </c>
      <c r="F941" s="5">
        <v>3440.63</v>
      </c>
      <c r="G941" s="13" t="s">
        <v>114</v>
      </c>
      <c r="H941" s="12">
        <f t="shared" si="14"/>
        <v>-3440.63</v>
      </c>
    </row>
    <row r="942" spans="1:8">
      <c r="A942" s="14">
        <v>937</v>
      </c>
      <c r="B942" s="9">
        <v>45945</v>
      </c>
      <c r="C942" s="10" t="s">
        <v>113</v>
      </c>
      <c r="D942" s="10" t="s">
        <v>14</v>
      </c>
      <c r="E942" s="11" t="s">
        <v>23</v>
      </c>
      <c r="F942" s="5">
        <v>2933.07</v>
      </c>
      <c r="G942" s="13" t="s">
        <v>114</v>
      </c>
      <c r="H942" s="12">
        <f t="shared" si="14"/>
        <v>-2933.07</v>
      </c>
    </row>
    <row r="943" spans="1:8">
      <c r="A943" s="14">
        <v>938</v>
      </c>
      <c r="B943" s="9">
        <v>45946</v>
      </c>
      <c r="C943" s="10" t="s">
        <v>113</v>
      </c>
      <c r="D943" s="10" t="s">
        <v>9</v>
      </c>
      <c r="E943" s="11" t="s">
        <v>38</v>
      </c>
      <c r="F943" s="5">
        <v>10519.1</v>
      </c>
      <c r="G943" s="13" t="s">
        <v>114</v>
      </c>
      <c r="H943" s="12">
        <f t="shared" si="14"/>
        <v>-10519.1</v>
      </c>
    </row>
    <row r="944" spans="1:8">
      <c r="A944" s="14">
        <v>939</v>
      </c>
      <c r="B944" s="9">
        <v>45946</v>
      </c>
      <c r="C944" s="10" t="s">
        <v>113</v>
      </c>
      <c r="D944" s="10" t="s">
        <v>16</v>
      </c>
      <c r="E944" s="11" t="s">
        <v>73</v>
      </c>
      <c r="F944" s="5">
        <v>1481.87</v>
      </c>
      <c r="G944" s="13" t="s">
        <v>114</v>
      </c>
      <c r="H944" s="12">
        <f t="shared" si="14"/>
        <v>-1481.87</v>
      </c>
    </row>
    <row r="945" spans="1:8">
      <c r="A945" s="14">
        <v>940</v>
      </c>
      <c r="B945" s="9">
        <v>45946</v>
      </c>
      <c r="C945" s="10" t="s">
        <v>113</v>
      </c>
      <c r="D945" s="10" t="s">
        <v>15</v>
      </c>
      <c r="E945" s="11" t="s">
        <v>61</v>
      </c>
      <c r="F945" s="5">
        <v>623.26</v>
      </c>
      <c r="G945" s="13" t="s">
        <v>114</v>
      </c>
      <c r="H945" s="12">
        <f t="shared" si="14"/>
        <v>-623.26</v>
      </c>
    </row>
    <row r="946" spans="1:8">
      <c r="A946" s="14">
        <v>941</v>
      </c>
      <c r="B946" s="9">
        <v>45947</v>
      </c>
      <c r="C946" s="10" t="s">
        <v>113</v>
      </c>
      <c r="D946" s="10" t="s">
        <v>14</v>
      </c>
      <c r="E946" s="11" t="s">
        <v>52</v>
      </c>
      <c r="F946" s="5">
        <v>1630.9</v>
      </c>
      <c r="G946" s="13" t="s">
        <v>114</v>
      </c>
      <c r="H946" s="12">
        <f t="shared" si="14"/>
        <v>-1630.9</v>
      </c>
    </row>
    <row r="947" spans="1:8">
      <c r="A947" s="14">
        <v>942</v>
      </c>
      <c r="B947" s="9">
        <v>45948</v>
      </c>
      <c r="C947" s="10" t="s">
        <v>113</v>
      </c>
      <c r="D947" s="10" t="s">
        <v>9</v>
      </c>
      <c r="E947" s="11" t="s">
        <v>27</v>
      </c>
      <c r="F947" s="5">
        <v>2355.58</v>
      </c>
      <c r="G947" s="13" t="s">
        <v>114</v>
      </c>
      <c r="H947" s="12">
        <f t="shared" si="14"/>
        <v>-2355.58</v>
      </c>
    </row>
    <row r="948" spans="1:8">
      <c r="A948" s="14">
        <v>943</v>
      </c>
      <c r="B948" s="9">
        <v>45948</v>
      </c>
      <c r="C948" s="10" t="s">
        <v>113</v>
      </c>
      <c r="D948" s="10" t="s">
        <v>15</v>
      </c>
      <c r="E948" s="11" t="s">
        <v>71</v>
      </c>
      <c r="F948" s="5">
        <v>509.67</v>
      </c>
      <c r="G948" s="13" t="s">
        <v>114</v>
      </c>
      <c r="H948" s="12">
        <f t="shared" si="14"/>
        <v>-509.67</v>
      </c>
    </row>
    <row r="949" spans="1:8">
      <c r="A949" s="14">
        <v>944</v>
      </c>
      <c r="B949" s="9">
        <v>45948</v>
      </c>
      <c r="C949" s="10" t="s">
        <v>113</v>
      </c>
      <c r="D949" s="10" t="s">
        <v>16</v>
      </c>
      <c r="E949" s="11" t="s">
        <v>63</v>
      </c>
      <c r="F949" s="5">
        <v>3159.21</v>
      </c>
      <c r="G949" s="13" t="s">
        <v>114</v>
      </c>
      <c r="H949" s="12">
        <f t="shared" si="14"/>
        <v>-3159.21</v>
      </c>
    </row>
    <row r="950" spans="1:8">
      <c r="A950" s="14">
        <v>945</v>
      </c>
      <c r="B950" s="9">
        <v>45949</v>
      </c>
      <c r="C950" s="10" t="s">
        <v>113</v>
      </c>
      <c r="D950" s="10" t="s">
        <v>16</v>
      </c>
      <c r="E950" s="11" t="s">
        <v>28</v>
      </c>
      <c r="F950" s="5">
        <v>6385.19</v>
      </c>
      <c r="G950" s="13" t="s">
        <v>114</v>
      </c>
      <c r="H950" s="12">
        <f t="shared" si="14"/>
        <v>-6385.19</v>
      </c>
    </row>
    <row r="951" spans="1:8">
      <c r="A951" s="14">
        <v>946</v>
      </c>
      <c r="B951" s="9">
        <v>45949</v>
      </c>
      <c r="C951" s="10" t="s">
        <v>113</v>
      </c>
      <c r="D951" s="10" t="s">
        <v>14</v>
      </c>
      <c r="E951" s="11" t="s">
        <v>46</v>
      </c>
      <c r="F951" s="5">
        <v>2516.7600000000002</v>
      </c>
      <c r="G951" s="13" t="s">
        <v>114</v>
      </c>
      <c r="H951" s="12">
        <f t="shared" si="14"/>
        <v>-2516.7600000000002</v>
      </c>
    </row>
    <row r="952" spans="1:8">
      <c r="A952" s="14">
        <v>947</v>
      </c>
      <c r="B952" s="9">
        <v>45949</v>
      </c>
      <c r="C952" s="10" t="s">
        <v>113</v>
      </c>
      <c r="D952" s="10" t="s">
        <v>10</v>
      </c>
      <c r="E952" s="11" t="s">
        <v>19</v>
      </c>
      <c r="F952" s="5">
        <v>18957.61</v>
      </c>
      <c r="G952" s="13" t="s">
        <v>114</v>
      </c>
      <c r="H952" s="12">
        <f t="shared" si="14"/>
        <v>-18957.61</v>
      </c>
    </row>
    <row r="953" spans="1:8">
      <c r="A953" s="14">
        <v>948</v>
      </c>
      <c r="B953" s="9">
        <v>45950</v>
      </c>
      <c r="C953" s="10" t="s">
        <v>113</v>
      </c>
      <c r="D953" s="10" t="s">
        <v>10</v>
      </c>
      <c r="E953" s="11" t="s">
        <v>19</v>
      </c>
      <c r="F953" s="5">
        <v>11562.71</v>
      </c>
      <c r="G953" s="13" t="s">
        <v>114</v>
      </c>
      <c r="H953" s="12">
        <f t="shared" si="14"/>
        <v>-11562.71</v>
      </c>
    </row>
    <row r="954" spans="1:8">
      <c r="A954" s="14">
        <v>949</v>
      </c>
      <c r="B954" s="9">
        <v>45950</v>
      </c>
      <c r="C954" s="10" t="s">
        <v>113</v>
      </c>
      <c r="D954" s="10" t="s">
        <v>16</v>
      </c>
      <c r="E954" s="11" t="s">
        <v>45</v>
      </c>
      <c r="F954" s="5">
        <v>8363.58</v>
      </c>
      <c r="G954" s="13" t="s">
        <v>114</v>
      </c>
      <c r="H954" s="12">
        <f t="shared" si="14"/>
        <v>-8363.58</v>
      </c>
    </row>
    <row r="955" spans="1:8">
      <c r="A955" s="14">
        <v>950</v>
      </c>
      <c r="B955" s="9">
        <v>45950</v>
      </c>
      <c r="C955" s="10" t="s">
        <v>113</v>
      </c>
      <c r="D955" s="10" t="s">
        <v>10</v>
      </c>
      <c r="E955" s="11" t="s">
        <v>53</v>
      </c>
      <c r="F955" s="5">
        <v>2098.52</v>
      </c>
      <c r="G955" s="13" t="s">
        <v>114</v>
      </c>
      <c r="H955" s="12">
        <f t="shared" si="14"/>
        <v>-2098.52</v>
      </c>
    </row>
    <row r="956" spans="1:8">
      <c r="A956" s="14">
        <v>951</v>
      </c>
      <c r="B956" s="9">
        <v>45950</v>
      </c>
      <c r="C956" s="10" t="s">
        <v>113</v>
      </c>
      <c r="D956" s="10" t="s">
        <v>10</v>
      </c>
      <c r="E956" s="11" t="s">
        <v>53</v>
      </c>
      <c r="F956" s="5">
        <v>4622.42</v>
      </c>
      <c r="G956" s="13" t="s">
        <v>114</v>
      </c>
      <c r="H956" s="12">
        <f t="shared" si="14"/>
        <v>-4622.42</v>
      </c>
    </row>
    <row r="957" spans="1:8">
      <c r="A957" s="14">
        <v>952</v>
      </c>
      <c r="B957" s="9">
        <v>45951</v>
      </c>
      <c r="C957" s="10" t="s">
        <v>113</v>
      </c>
      <c r="D957" s="10" t="s">
        <v>10</v>
      </c>
      <c r="E957" s="11" t="s">
        <v>19</v>
      </c>
      <c r="F957" s="5">
        <v>9418.06</v>
      </c>
      <c r="G957" s="13" t="s">
        <v>114</v>
      </c>
      <c r="H957" s="12">
        <f t="shared" si="14"/>
        <v>-9418.06</v>
      </c>
    </row>
    <row r="958" spans="1:8">
      <c r="A958" s="14">
        <v>953</v>
      </c>
      <c r="B958" s="9">
        <v>45951</v>
      </c>
      <c r="C958" s="10" t="s">
        <v>113</v>
      </c>
      <c r="D958" s="10" t="s">
        <v>10</v>
      </c>
      <c r="E958" s="11" t="s">
        <v>53</v>
      </c>
      <c r="F958" s="5">
        <v>5173.96</v>
      </c>
      <c r="G958" s="13" t="s">
        <v>114</v>
      </c>
      <c r="H958" s="12">
        <f t="shared" si="14"/>
        <v>-5173.96</v>
      </c>
    </row>
    <row r="959" spans="1:8">
      <c r="A959" s="14">
        <v>954</v>
      </c>
      <c r="B959" s="9">
        <v>45951</v>
      </c>
      <c r="C959" s="10" t="s">
        <v>113</v>
      </c>
      <c r="D959" s="10" t="s">
        <v>9</v>
      </c>
      <c r="E959" s="11" t="s">
        <v>62</v>
      </c>
      <c r="F959" s="5">
        <v>1444.02</v>
      </c>
      <c r="G959" s="13" t="s">
        <v>114</v>
      </c>
      <c r="H959" s="12">
        <f t="shared" si="14"/>
        <v>-1444.02</v>
      </c>
    </row>
    <row r="960" spans="1:8">
      <c r="A960" s="14">
        <v>955</v>
      </c>
      <c r="B960" s="9">
        <v>45952</v>
      </c>
      <c r="C960" s="10" t="s">
        <v>113</v>
      </c>
      <c r="D960" s="10" t="s">
        <v>10</v>
      </c>
      <c r="E960" s="11" t="s">
        <v>41</v>
      </c>
      <c r="F960" s="5">
        <v>14798.44</v>
      </c>
      <c r="G960" s="13" t="s">
        <v>114</v>
      </c>
      <c r="H960" s="12">
        <f t="shared" si="14"/>
        <v>-14798.44</v>
      </c>
    </row>
    <row r="961" spans="1:8">
      <c r="A961" s="14">
        <v>956</v>
      </c>
      <c r="B961" s="9">
        <v>45952</v>
      </c>
      <c r="C961" s="10" t="s">
        <v>113</v>
      </c>
      <c r="D961" s="10" t="s">
        <v>15</v>
      </c>
      <c r="E961" s="11" t="s">
        <v>7</v>
      </c>
      <c r="F961" s="5">
        <v>1327.7</v>
      </c>
      <c r="G961" s="13" t="s">
        <v>114</v>
      </c>
      <c r="H961" s="12">
        <f t="shared" si="14"/>
        <v>-1327.7</v>
      </c>
    </row>
    <row r="962" spans="1:8">
      <c r="A962" s="14">
        <v>957</v>
      </c>
      <c r="B962" s="9">
        <v>45953</v>
      </c>
      <c r="C962" s="10" t="s">
        <v>113</v>
      </c>
      <c r="D962" s="10" t="s">
        <v>16</v>
      </c>
      <c r="E962" s="11" t="s">
        <v>63</v>
      </c>
      <c r="F962" s="5">
        <v>4834.8500000000004</v>
      </c>
      <c r="G962" s="13" t="s">
        <v>114</v>
      </c>
      <c r="H962" s="12">
        <f t="shared" si="14"/>
        <v>-4834.8500000000004</v>
      </c>
    </row>
    <row r="963" spans="1:8">
      <c r="A963" s="14">
        <v>958</v>
      </c>
      <c r="B963" s="9">
        <v>45953</v>
      </c>
      <c r="C963" s="10" t="s">
        <v>113</v>
      </c>
      <c r="D963" s="10" t="s">
        <v>14</v>
      </c>
      <c r="E963" s="11" t="s">
        <v>64</v>
      </c>
      <c r="F963" s="5">
        <v>2171.33</v>
      </c>
      <c r="G963" s="13" t="s">
        <v>114</v>
      </c>
      <c r="H963" s="12">
        <f t="shared" si="14"/>
        <v>-2171.33</v>
      </c>
    </row>
    <row r="964" spans="1:8">
      <c r="A964" s="14">
        <v>959</v>
      </c>
      <c r="B964" s="9">
        <v>45953</v>
      </c>
      <c r="C964" s="10" t="s">
        <v>113</v>
      </c>
      <c r="D964" s="10" t="s">
        <v>9</v>
      </c>
      <c r="E964" s="11" t="s">
        <v>21</v>
      </c>
      <c r="F964" s="5">
        <v>2297.7399999999998</v>
      </c>
      <c r="G964" s="13" t="s">
        <v>114</v>
      </c>
      <c r="H964" s="12">
        <f t="shared" si="14"/>
        <v>-2297.7399999999998</v>
      </c>
    </row>
    <row r="965" spans="1:8">
      <c r="A965" s="14">
        <v>960</v>
      </c>
      <c r="B965" s="9">
        <v>45954</v>
      </c>
      <c r="C965" s="10" t="s">
        <v>113</v>
      </c>
      <c r="D965" s="10" t="s">
        <v>15</v>
      </c>
      <c r="E965" s="11" t="s">
        <v>66</v>
      </c>
      <c r="F965" s="5">
        <v>17878.84</v>
      </c>
      <c r="G965" s="13" t="s">
        <v>114</v>
      </c>
      <c r="H965" s="12">
        <f t="shared" ref="H965:H1028" si="15">IF(C965="Despesa", F965*-1, F965)</f>
        <v>-17878.84</v>
      </c>
    </row>
    <row r="966" spans="1:8">
      <c r="A966" s="14">
        <v>961</v>
      </c>
      <c r="B966" s="9">
        <v>45954</v>
      </c>
      <c r="C966" s="10" t="s">
        <v>113</v>
      </c>
      <c r="D966" s="10" t="s">
        <v>17</v>
      </c>
      <c r="E966" s="11" t="s">
        <v>54</v>
      </c>
      <c r="F966" s="5">
        <v>3142.32</v>
      </c>
      <c r="G966" s="13" t="s">
        <v>114</v>
      </c>
      <c r="H966" s="12">
        <f t="shared" si="15"/>
        <v>-3142.32</v>
      </c>
    </row>
    <row r="967" spans="1:8">
      <c r="A967" s="14">
        <v>962</v>
      </c>
      <c r="B967" s="9">
        <v>45954</v>
      </c>
      <c r="C967" s="10" t="s">
        <v>113</v>
      </c>
      <c r="D967" s="10" t="s">
        <v>15</v>
      </c>
      <c r="E967" s="11" t="s">
        <v>26</v>
      </c>
      <c r="F967" s="5">
        <v>2877.98</v>
      </c>
      <c r="G967" s="13" t="s">
        <v>114</v>
      </c>
      <c r="H967" s="12">
        <f t="shared" si="15"/>
        <v>-2877.98</v>
      </c>
    </row>
    <row r="968" spans="1:8">
      <c r="A968" s="14">
        <v>963</v>
      </c>
      <c r="B968" s="9">
        <v>45955</v>
      </c>
      <c r="C968" s="10" t="s">
        <v>113</v>
      </c>
      <c r="D968" s="10" t="s">
        <v>10</v>
      </c>
      <c r="E968" s="11" t="s">
        <v>65</v>
      </c>
      <c r="F968" s="5">
        <v>1994.05</v>
      </c>
      <c r="G968" s="13" t="s">
        <v>114</v>
      </c>
      <c r="H968" s="12">
        <f t="shared" si="15"/>
        <v>-1994.05</v>
      </c>
    </row>
    <row r="969" spans="1:8">
      <c r="A969" s="14">
        <v>964</v>
      </c>
      <c r="B969" s="9">
        <v>45955</v>
      </c>
      <c r="C969" s="10" t="s">
        <v>113</v>
      </c>
      <c r="D969" s="10" t="s">
        <v>10</v>
      </c>
      <c r="E969" s="11" t="s">
        <v>65</v>
      </c>
      <c r="F969" s="5">
        <v>3984.69</v>
      </c>
      <c r="G969" s="13" t="s">
        <v>114</v>
      </c>
      <c r="H969" s="12">
        <f t="shared" si="15"/>
        <v>-3984.69</v>
      </c>
    </row>
    <row r="970" spans="1:8">
      <c r="A970" s="14">
        <v>965</v>
      </c>
      <c r="B970" s="9">
        <v>45955</v>
      </c>
      <c r="C970" s="10" t="s">
        <v>113</v>
      </c>
      <c r="D970" s="10" t="s">
        <v>16</v>
      </c>
      <c r="E970" s="11" t="s">
        <v>33</v>
      </c>
      <c r="F970" s="5">
        <v>1232.97</v>
      </c>
      <c r="G970" s="13" t="s">
        <v>114</v>
      </c>
      <c r="H970" s="12">
        <f t="shared" si="15"/>
        <v>-1232.97</v>
      </c>
    </row>
    <row r="971" spans="1:8">
      <c r="A971" s="14">
        <v>966</v>
      </c>
      <c r="B971" s="9">
        <v>45956</v>
      </c>
      <c r="C971" s="10" t="s">
        <v>113</v>
      </c>
      <c r="D971" s="10" t="s">
        <v>15</v>
      </c>
      <c r="E971" s="11" t="s">
        <v>66</v>
      </c>
      <c r="F971" s="5">
        <v>4291.74</v>
      </c>
      <c r="G971" s="13" t="s">
        <v>114</v>
      </c>
      <c r="H971" s="12">
        <f t="shared" si="15"/>
        <v>-4291.74</v>
      </c>
    </row>
    <row r="972" spans="1:8">
      <c r="A972" s="14">
        <v>967</v>
      </c>
      <c r="B972" s="9">
        <v>45957</v>
      </c>
      <c r="C972" s="10" t="s">
        <v>113</v>
      </c>
      <c r="D972" s="10" t="s">
        <v>14</v>
      </c>
      <c r="E972" s="11" t="s">
        <v>64</v>
      </c>
      <c r="F972" s="5">
        <v>797.96</v>
      </c>
      <c r="G972" s="13" t="s">
        <v>114</v>
      </c>
      <c r="H972" s="12">
        <f t="shared" si="15"/>
        <v>-797.96</v>
      </c>
    </row>
    <row r="973" spans="1:8">
      <c r="A973" s="14">
        <v>968</v>
      </c>
      <c r="B973" s="9">
        <v>45957</v>
      </c>
      <c r="C973" s="10" t="s">
        <v>113</v>
      </c>
      <c r="D973" s="10" t="s">
        <v>16</v>
      </c>
      <c r="E973" s="11" t="s">
        <v>33</v>
      </c>
      <c r="F973" s="5">
        <v>1906.13</v>
      </c>
      <c r="G973" s="13" t="s">
        <v>114</v>
      </c>
      <c r="H973" s="12">
        <f t="shared" si="15"/>
        <v>-1906.13</v>
      </c>
    </row>
    <row r="974" spans="1:8">
      <c r="A974" s="14">
        <v>969</v>
      </c>
      <c r="B974" s="9">
        <v>45957</v>
      </c>
      <c r="C974" s="10" t="s">
        <v>113</v>
      </c>
      <c r="D974" s="10" t="s">
        <v>10</v>
      </c>
      <c r="E974" s="11" t="s">
        <v>65</v>
      </c>
      <c r="F974" s="5">
        <v>2884.11</v>
      </c>
      <c r="G974" s="13" t="s">
        <v>114</v>
      </c>
      <c r="H974" s="12">
        <f t="shared" si="15"/>
        <v>-2884.11</v>
      </c>
    </row>
    <row r="975" spans="1:8">
      <c r="A975" s="14">
        <v>970</v>
      </c>
      <c r="B975" s="9">
        <v>45957</v>
      </c>
      <c r="C975" s="10" t="s">
        <v>113</v>
      </c>
      <c r="D975" s="10" t="s">
        <v>17</v>
      </c>
      <c r="E975" s="11" t="s">
        <v>36</v>
      </c>
      <c r="F975" s="5">
        <v>2109.63</v>
      </c>
      <c r="G975" s="13" t="s">
        <v>114</v>
      </c>
      <c r="H975" s="12">
        <f t="shared" si="15"/>
        <v>-2109.63</v>
      </c>
    </row>
    <row r="976" spans="1:8">
      <c r="A976" s="14">
        <v>971</v>
      </c>
      <c r="B976" s="9">
        <v>45958</v>
      </c>
      <c r="C976" s="10" t="s">
        <v>113</v>
      </c>
      <c r="D976" s="10" t="s">
        <v>15</v>
      </c>
      <c r="E976" s="11" t="s">
        <v>37</v>
      </c>
      <c r="F976" s="5">
        <v>660.09</v>
      </c>
      <c r="G976" s="13" t="s">
        <v>114</v>
      </c>
      <c r="H976" s="12">
        <f t="shared" si="15"/>
        <v>-660.09</v>
      </c>
    </row>
    <row r="977" spans="1:8">
      <c r="A977" s="14">
        <v>972</v>
      </c>
      <c r="B977" s="9">
        <v>45958</v>
      </c>
      <c r="C977" s="10" t="s">
        <v>113</v>
      </c>
      <c r="D977" s="10" t="s">
        <v>17</v>
      </c>
      <c r="E977" s="11" t="s">
        <v>20</v>
      </c>
      <c r="F977" s="5">
        <v>231.05</v>
      </c>
      <c r="G977" s="13" t="s">
        <v>114</v>
      </c>
      <c r="H977" s="12">
        <f t="shared" si="15"/>
        <v>-231.05</v>
      </c>
    </row>
    <row r="978" spans="1:8">
      <c r="A978" s="14">
        <v>973</v>
      </c>
      <c r="B978" s="9">
        <v>45959</v>
      </c>
      <c r="C978" s="10" t="s">
        <v>113</v>
      </c>
      <c r="D978" s="10" t="s">
        <v>10</v>
      </c>
      <c r="E978" s="11" t="s">
        <v>53</v>
      </c>
      <c r="F978" s="5">
        <v>1977.71</v>
      </c>
      <c r="G978" s="13" t="s">
        <v>114</v>
      </c>
      <c r="H978" s="12">
        <f t="shared" si="15"/>
        <v>-1977.71</v>
      </c>
    </row>
    <row r="979" spans="1:8">
      <c r="A979" s="14">
        <v>974</v>
      </c>
      <c r="B979" s="9">
        <v>45959</v>
      </c>
      <c r="C979" s="10" t="s">
        <v>113</v>
      </c>
      <c r="D979" s="10" t="s">
        <v>15</v>
      </c>
      <c r="E979" s="11" t="s">
        <v>66</v>
      </c>
      <c r="F979" s="5">
        <v>15228.35</v>
      </c>
      <c r="G979" s="13" t="s">
        <v>114</v>
      </c>
      <c r="H979" s="12">
        <f t="shared" si="15"/>
        <v>-15228.35</v>
      </c>
    </row>
    <row r="980" spans="1:8">
      <c r="A980" s="14">
        <v>975</v>
      </c>
      <c r="B980" s="9">
        <v>45960</v>
      </c>
      <c r="C980" s="10" t="s">
        <v>113</v>
      </c>
      <c r="D980" s="10" t="s">
        <v>16</v>
      </c>
      <c r="E980" s="11" t="s">
        <v>73</v>
      </c>
      <c r="F980" s="5">
        <v>394.05</v>
      </c>
      <c r="G980" s="13" t="s">
        <v>114</v>
      </c>
      <c r="H980" s="12">
        <f t="shared" si="15"/>
        <v>-394.05</v>
      </c>
    </row>
    <row r="981" spans="1:8">
      <c r="A981" s="14">
        <v>976</v>
      </c>
      <c r="B981" s="9">
        <v>45960</v>
      </c>
      <c r="C981" s="10" t="s">
        <v>113</v>
      </c>
      <c r="D981" s="10" t="s">
        <v>14</v>
      </c>
      <c r="E981" s="11" t="s">
        <v>52</v>
      </c>
      <c r="F981" s="5">
        <v>1065.1500000000001</v>
      </c>
      <c r="G981" s="13" t="s">
        <v>114</v>
      </c>
      <c r="H981" s="12">
        <f t="shared" si="15"/>
        <v>-1065.1500000000001</v>
      </c>
    </row>
    <row r="982" spans="1:8">
      <c r="A982" s="14">
        <v>977</v>
      </c>
      <c r="B982" s="9">
        <v>45960</v>
      </c>
      <c r="C982" s="10" t="s">
        <v>113</v>
      </c>
      <c r="D982" s="10" t="s">
        <v>10</v>
      </c>
      <c r="E982" s="11" t="s">
        <v>19</v>
      </c>
      <c r="F982" s="5">
        <v>21496.3</v>
      </c>
      <c r="G982" s="13" t="s">
        <v>114</v>
      </c>
      <c r="H982" s="12">
        <f t="shared" si="15"/>
        <v>-21496.3</v>
      </c>
    </row>
    <row r="983" spans="1:8">
      <c r="A983" s="14">
        <v>978</v>
      </c>
      <c r="B983" s="9">
        <v>45960</v>
      </c>
      <c r="C983" s="10" t="s">
        <v>113</v>
      </c>
      <c r="D983" s="10" t="s">
        <v>16</v>
      </c>
      <c r="E983" s="11" t="s">
        <v>73</v>
      </c>
      <c r="F983" s="5">
        <v>577.83000000000004</v>
      </c>
      <c r="G983" s="13" t="s">
        <v>114</v>
      </c>
      <c r="H983" s="12">
        <f t="shared" si="15"/>
        <v>-577.83000000000004</v>
      </c>
    </row>
    <row r="984" spans="1:8">
      <c r="A984" s="14">
        <v>979</v>
      </c>
      <c r="B984" s="9">
        <v>45960</v>
      </c>
      <c r="C984" s="10" t="s">
        <v>113</v>
      </c>
      <c r="D984" s="10" t="s">
        <v>16</v>
      </c>
      <c r="E984" s="11" t="s">
        <v>28</v>
      </c>
      <c r="F984" s="5">
        <v>5369.31</v>
      </c>
      <c r="G984" s="13" t="s">
        <v>114</v>
      </c>
      <c r="H984" s="12">
        <f t="shared" si="15"/>
        <v>-5369.31</v>
      </c>
    </row>
    <row r="985" spans="1:8">
      <c r="A985" s="14">
        <v>980</v>
      </c>
      <c r="B985" s="9">
        <v>45960</v>
      </c>
      <c r="C985" s="10" t="s">
        <v>113</v>
      </c>
      <c r="D985" s="10" t="s">
        <v>14</v>
      </c>
      <c r="E985" s="11" t="s">
        <v>40</v>
      </c>
      <c r="F985" s="5">
        <v>9825.01</v>
      </c>
      <c r="G985" s="13" t="s">
        <v>114</v>
      </c>
      <c r="H985" s="12">
        <f t="shared" si="15"/>
        <v>-9825.01</v>
      </c>
    </row>
    <row r="986" spans="1:8">
      <c r="A986" s="14">
        <v>981</v>
      </c>
      <c r="B986" s="9">
        <v>45960</v>
      </c>
      <c r="C986" s="10" t="s">
        <v>113</v>
      </c>
      <c r="D986" s="10" t="s">
        <v>9</v>
      </c>
      <c r="E986" s="11" t="s">
        <v>27</v>
      </c>
      <c r="F986" s="5">
        <v>972.41</v>
      </c>
      <c r="G986" s="13" t="s">
        <v>114</v>
      </c>
      <c r="H986" s="12">
        <f t="shared" si="15"/>
        <v>-972.41</v>
      </c>
    </row>
    <row r="987" spans="1:8">
      <c r="A987" s="14">
        <v>982</v>
      </c>
      <c r="B987" s="9">
        <v>45960</v>
      </c>
      <c r="C987" s="10" t="s">
        <v>113</v>
      </c>
      <c r="D987" s="10" t="s">
        <v>15</v>
      </c>
      <c r="E987" s="11" t="s">
        <v>37</v>
      </c>
      <c r="F987" s="5">
        <v>717.02</v>
      </c>
      <c r="G987" s="13" t="s">
        <v>114</v>
      </c>
      <c r="H987" s="12">
        <f t="shared" si="15"/>
        <v>-717.02</v>
      </c>
    </row>
    <row r="988" spans="1:8">
      <c r="A988" s="14">
        <v>983</v>
      </c>
      <c r="B988" s="9">
        <v>45961</v>
      </c>
      <c r="C988" s="10" t="s">
        <v>113</v>
      </c>
      <c r="D988" s="10" t="s">
        <v>9</v>
      </c>
      <c r="E988" s="11" t="s">
        <v>44</v>
      </c>
      <c r="F988" s="5">
        <v>2325.2600000000002</v>
      </c>
      <c r="G988" s="13" t="s">
        <v>114</v>
      </c>
      <c r="H988" s="12">
        <f t="shared" si="15"/>
        <v>-2325.2600000000002</v>
      </c>
    </row>
    <row r="989" spans="1:8">
      <c r="A989" s="14">
        <v>984</v>
      </c>
      <c r="B989" s="9">
        <v>45961</v>
      </c>
      <c r="C989" s="10" t="s">
        <v>113</v>
      </c>
      <c r="D989" s="10" t="s">
        <v>17</v>
      </c>
      <c r="E989" s="11" t="s">
        <v>48</v>
      </c>
      <c r="F989" s="5">
        <v>878.73</v>
      </c>
      <c r="G989" s="13" t="s">
        <v>114</v>
      </c>
      <c r="H989" s="12">
        <f t="shared" si="15"/>
        <v>-878.73</v>
      </c>
    </row>
    <row r="990" spans="1:8">
      <c r="A990" s="14">
        <v>985</v>
      </c>
      <c r="B990" s="9">
        <v>45961</v>
      </c>
      <c r="C990" s="10" t="s">
        <v>113</v>
      </c>
      <c r="D990" s="10" t="s">
        <v>10</v>
      </c>
      <c r="E990" s="11" t="s">
        <v>70</v>
      </c>
      <c r="F990" s="5">
        <v>4485.21</v>
      </c>
      <c r="G990" s="13" t="s">
        <v>114</v>
      </c>
      <c r="H990" s="12">
        <f t="shared" si="15"/>
        <v>-4485.21</v>
      </c>
    </row>
    <row r="991" spans="1:8">
      <c r="A991" s="14">
        <v>986</v>
      </c>
      <c r="B991" s="9">
        <v>45961</v>
      </c>
      <c r="C991" s="10" t="s">
        <v>113</v>
      </c>
      <c r="D991" s="10" t="s">
        <v>9</v>
      </c>
      <c r="E991" s="11" t="s">
        <v>27</v>
      </c>
      <c r="F991" s="5">
        <v>3224.32</v>
      </c>
      <c r="G991" s="13" t="s">
        <v>114</v>
      </c>
      <c r="H991" s="12">
        <f t="shared" si="15"/>
        <v>-3224.32</v>
      </c>
    </row>
    <row r="992" spans="1:8">
      <c r="A992" s="14">
        <v>987</v>
      </c>
      <c r="B992" s="9">
        <v>45961</v>
      </c>
      <c r="C992" s="10" t="s">
        <v>113</v>
      </c>
      <c r="D992" s="10" t="s">
        <v>16</v>
      </c>
      <c r="E992" s="11" t="s">
        <v>22</v>
      </c>
      <c r="F992" s="5">
        <v>3073.07</v>
      </c>
      <c r="G992" s="13" t="s">
        <v>114</v>
      </c>
      <c r="H992" s="12">
        <f t="shared" si="15"/>
        <v>-3073.07</v>
      </c>
    </row>
    <row r="993" spans="1:8">
      <c r="A993" s="14">
        <v>988</v>
      </c>
      <c r="B993" s="9">
        <v>45961</v>
      </c>
      <c r="C993" s="10" t="s">
        <v>113</v>
      </c>
      <c r="D993" s="10" t="s">
        <v>15</v>
      </c>
      <c r="E993" s="11" t="s">
        <v>61</v>
      </c>
      <c r="F993" s="5">
        <v>2364.73</v>
      </c>
      <c r="G993" s="13" t="s">
        <v>114</v>
      </c>
      <c r="H993" s="12">
        <f t="shared" si="15"/>
        <v>-2364.73</v>
      </c>
    </row>
    <row r="994" spans="1:8">
      <c r="A994" s="14">
        <v>989</v>
      </c>
      <c r="B994" s="9">
        <v>45961</v>
      </c>
      <c r="C994" s="10" t="s">
        <v>113</v>
      </c>
      <c r="D994" s="10" t="s">
        <v>9</v>
      </c>
      <c r="E994" s="11" t="s">
        <v>27</v>
      </c>
      <c r="F994" s="5">
        <v>3233.38</v>
      </c>
      <c r="G994" s="13" t="s">
        <v>114</v>
      </c>
      <c r="H994" s="12">
        <f t="shared" si="15"/>
        <v>-3233.38</v>
      </c>
    </row>
    <row r="995" spans="1:8">
      <c r="A995" s="14">
        <v>990</v>
      </c>
      <c r="B995" s="9">
        <v>45962</v>
      </c>
      <c r="C995" s="10" t="s">
        <v>113</v>
      </c>
      <c r="D995" s="10" t="s">
        <v>16</v>
      </c>
      <c r="E995" s="11" t="s">
        <v>73</v>
      </c>
      <c r="F995" s="5">
        <v>2937.88</v>
      </c>
      <c r="G995" s="13" t="s">
        <v>114</v>
      </c>
      <c r="H995" s="12">
        <f t="shared" si="15"/>
        <v>-2937.88</v>
      </c>
    </row>
    <row r="996" spans="1:8">
      <c r="A996" s="14">
        <v>991</v>
      </c>
      <c r="B996" s="9">
        <v>45962</v>
      </c>
      <c r="C996" s="10" t="s">
        <v>113</v>
      </c>
      <c r="D996" s="10" t="s">
        <v>14</v>
      </c>
      <c r="E996" s="11" t="s">
        <v>52</v>
      </c>
      <c r="F996" s="5">
        <v>1095.69</v>
      </c>
      <c r="G996" s="13" t="s">
        <v>114</v>
      </c>
      <c r="H996" s="12">
        <f t="shared" si="15"/>
        <v>-1095.69</v>
      </c>
    </row>
    <row r="997" spans="1:8">
      <c r="A997" s="14">
        <v>992</v>
      </c>
      <c r="B997" s="9">
        <v>45963</v>
      </c>
      <c r="C997" s="10" t="s">
        <v>113</v>
      </c>
      <c r="D997" s="10" t="s">
        <v>14</v>
      </c>
      <c r="E997" s="11" t="s">
        <v>29</v>
      </c>
      <c r="F997" s="5">
        <v>1712.1</v>
      </c>
      <c r="G997" s="13" t="s">
        <v>114</v>
      </c>
      <c r="H997" s="12">
        <f t="shared" si="15"/>
        <v>-1712.1</v>
      </c>
    </row>
    <row r="998" spans="1:8">
      <c r="A998" s="14">
        <v>993</v>
      </c>
      <c r="B998" s="9">
        <v>45963</v>
      </c>
      <c r="C998" s="10" t="s">
        <v>113</v>
      </c>
      <c r="D998" s="10" t="s">
        <v>15</v>
      </c>
      <c r="E998" s="11" t="s">
        <v>61</v>
      </c>
      <c r="F998" s="5">
        <v>750.54</v>
      </c>
      <c r="G998" s="13" t="s">
        <v>114</v>
      </c>
      <c r="H998" s="12">
        <f t="shared" si="15"/>
        <v>-750.54</v>
      </c>
    </row>
    <row r="999" spans="1:8">
      <c r="A999" s="14">
        <v>994</v>
      </c>
      <c r="B999" s="9">
        <v>45963</v>
      </c>
      <c r="C999" s="10" t="s">
        <v>113</v>
      </c>
      <c r="D999" s="10" t="s">
        <v>14</v>
      </c>
      <c r="E999" s="11" t="s">
        <v>29</v>
      </c>
      <c r="F999" s="5">
        <v>1655.06</v>
      </c>
      <c r="G999" s="13" t="s">
        <v>114</v>
      </c>
      <c r="H999" s="12">
        <f t="shared" si="15"/>
        <v>-1655.06</v>
      </c>
    </row>
    <row r="1000" spans="1:8">
      <c r="A1000" s="14">
        <v>995</v>
      </c>
      <c r="B1000" s="9">
        <v>45964</v>
      </c>
      <c r="C1000" s="10" t="s">
        <v>113</v>
      </c>
      <c r="D1000" s="10" t="s">
        <v>9</v>
      </c>
      <c r="E1000" s="11" t="s">
        <v>44</v>
      </c>
      <c r="F1000" s="5">
        <v>2045.98</v>
      </c>
      <c r="G1000" s="13" t="s">
        <v>114</v>
      </c>
      <c r="H1000" s="12">
        <f t="shared" si="15"/>
        <v>-2045.98</v>
      </c>
    </row>
    <row r="1001" spans="1:8">
      <c r="A1001" s="14">
        <v>996</v>
      </c>
      <c r="B1001" s="9">
        <v>45964</v>
      </c>
      <c r="C1001" s="10" t="s">
        <v>113</v>
      </c>
      <c r="D1001" s="10" t="s">
        <v>10</v>
      </c>
      <c r="E1001" s="11" t="s">
        <v>65</v>
      </c>
      <c r="F1001" s="5">
        <v>2117.6</v>
      </c>
      <c r="G1001" s="13" t="s">
        <v>114</v>
      </c>
      <c r="H1001" s="12">
        <f t="shared" si="15"/>
        <v>-2117.6</v>
      </c>
    </row>
    <row r="1002" spans="1:8">
      <c r="A1002" s="14">
        <v>997</v>
      </c>
      <c r="B1002" s="9">
        <v>45965</v>
      </c>
      <c r="C1002" s="10" t="s">
        <v>113</v>
      </c>
      <c r="D1002" s="10" t="s">
        <v>14</v>
      </c>
      <c r="E1002" s="11" t="s">
        <v>29</v>
      </c>
      <c r="F1002" s="5">
        <v>628.95000000000005</v>
      </c>
      <c r="G1002" s="13" t="s">
        <v>114</v>
      </c>
      <c r="H1002" s="12">
        <f t="shared" si="15"/>
        <v>-628.95000000000005</v>
      </c>
    </row>
    <row r="1003" spans="1:8">
      <c r="A1003" s="14">
        <v>998</v>
      </c>
      <c r="B1003" s="9">
        <v>45965</v>
      </c>
      <c r="C1003" s="10" t="s">
        <v>113</v>
      </c>
      <c r="D1003" s="10" t="s">
        <v>17</v>
      </c>
      <c r="E1003" s="11" t="s">
        <v>25</v>
      </c>
      <c r="F1003" s="5">
        <v>2521.54</v>
      </c>
      <c r="G1003" s="13" t="s">
        <v>114</v>
      </c>
      <c r="H1003" s="12">
        <f t="shared" si="15"/>
        <v>-2521.54</v>
      </c>
    </row>
    <row r="1004" spans="1:8">
      <c r="A1004" s="14">
        <v>999</v>
      </c>
      <c r="B1004" s="9">
        <v>45965</v>
      </c>
      <c r="C1004" s="10" t="s">
        <v>113</v>
      </c>
      <c r="D1004" s="10" t="s">
        <v>15</v>
      </c>
      <c r="E1004" s="11" t="s">
        <v>7</v>
      </c>
      <c r="F1004" s="5">
        <v>927.34</v>
      </c>
      <c r="G1004" s="13" t="s">
        <v>114</v>
      </c>
      <c r="H1004" s="12">
        <f t="shared" si="15"/>
        <v>-927.34</v>
      </c>
    </row>
    <row r="1005" spans="1:8">
      <c r="A1005" s="14">
        <v>1000</v>
      </c>
      <c r="B1005" s="9">
        <v>45965</v>
      </c>
      <c r="C1005" s="10" t="s">
        <v>113</v>
      </c>
      <c r="D1005" s="10" t="s">
        <v>15</v>
      </c>
      <c r="E1005" s="11" t="s">
        <v>43</v>
      </c>
      <c r="F1005" s="5">
        <v>2454.5500000000002</v>
      </c>
      <c r="G1005" s="13" t="s">
        <v>114</v>
      </c>
      <c r="H1005" s="12">
        <f t="shared" si="15"/>
        <v>-2454.5500000000002</v>
      </c>
    </row>
    <row r="1006" spans="1:8">
      <c r="A1006" s="14">
        <v>1001</v>
      </c>
      <c r="B1006" s="9">
        <v>45965</v>
      </c>
      <c r="C1006" s="10" t="s">
        <v>113</v>
      </c>
      <c r="D1006" s="10" t="s">
        <v>9</v>
      </c>
      <c r="E1006" s="11" t="s">
        <v>21</v>
      </c>
      <c r="F1006" s="5">
        <v>2096.0100000000002</v>
      </c>
      <c r="G1006" s="13" t="s">
        <v>114</v>
      </c>
      <c r="H1006" s="12">
        <f t="shared" si="15"/>
        <v>-2096.0100000000002</v>
      </c>
    </row>
    <row r="1007" spans="1:8">
      <c r="A1007" s="14">
        <v>1002</v>
      </c>
      <c r="B1007" s="9">
        <v>45967</v>
      </c>
      <c r="C1007" s="10" t="s">
        <v>113</v>
      </c>
      <c r="D1007" s="10" t="s">
        <v>10</v>
      </c>
      <c r="E1007" s="11" t="s">
        <v>53</v>
      </c>
      <c r="F1007" s="5">
        <v>1599.29</v>
      </c>
      <c r="G1007" s="13" t="s">
        <v>114</v>
      </c>
      <c r="H1007" s="12">
        <f t="shared" si="15"/>
        <v>-1599.29</v>
      </c>
    </row>
    <row r="1008" spans="1:8">
      <c r="A1008" s="14">
        <v>1003</v>
      </c>
      <c r="B1008" s="9">
        <v>45967</v>
      </c>
      <c r="C1008" s="10" t="s">
        <v>113</v>
      </c>
      <c r="D1008" s="10" t="s">
        <v>14</v>
      </c>
      <c r="E1008" s="11" t="s">
        <v>69</v>
      </c>
      <c r="F1008" s="5">
        <v>3766.37</v>
      </c>
      <c r="G1008" s="13" t="s">
        <v>114</v>
      </c>
      <c r="H1008" s="12">
        <f t="shared" si="15"/>
        <v>-3766.37</v>
      </c>
    </row>
    <row r="1009" spans="1:8">
      <c r="A1009" s="14">
        <v>1004</v>
      </c>
      <c r="B1009" s="9">
        <v>45967</v>
      </c>
      <c r="C1009" s="10" t="s">
        <v>113</v>
      </c>
      <c r="D1009" s="10" t="s">
        <v>15</v>
      </c>
      <c r="E1009" s="11" t="s">
        <v>37</v>
      </c>
      <c r="F1009" s="5">
        <v>536.39</v>
      </c>
      <c r="G1009" s="13" t="s">
        <v>114</v>
      </c>
      <c r="H1009" s="12">
        <f t="shared" si="15"/>
        <v>-536.39</v>
      </c>
    </row>
    <row r="1010" spans="1:8">
      <c r="A1010" s="14">
        <v>1005</v>
      </c>
      <c r="B1010" s="9">
        <v>45968</v>
      </c>
      <c r="C1010" s="10" t="s">
        <v>113</v>
      </c>
      <c r="D1010" s="10" t="s">
        <v>15</v>
      </c>
      <c r="E1010" s="11" t="s">
        <v>55</v>
      </c>
      <c r="F1010" s="5">
        <v>2385.9899999999998</v>
      </c>
      <c r="G1010" s="13" t="s">
        <v>114</v>
      </c>
      <c r="H1010" s="12">
        <f t="shared" si="15"/>
        <v>-2385.9899999999998</v>
      </c>
    </row>
    <row r="1011" spans="1:8">
      <c r="A1011" s="14">
        <v>1006</v>
      </c>
      <c r="B1011" s="9">
        <v>45968</v>
      </c>
      <c r="C1011" s="10" t="s">
        <v>113</v>
      </c>
      <c r="D1011" s="10" t="s">
        <v>10</v>
      </c>
      <c r="E1011" s="11" t="s">
        <v>30</v>
      </c>
      <c r="F1011" s="5">
        <v>2466.9299999999998</v>
      </c>
      <c r="G1011" s="13" t="s">
        <v>114</v>
      </c>
      <c r="H1011" s="12">
        <f t="shared" si="15"/>
        <v>-2466.9299999999998</v>
      </c>
    </row>
    <row r="1012" spans="1:8">
      <c r="A1012" s="14">
        <v>1007</v>
      </c>
      <c r="B1012" s="9">
        <v>45968</v>
      </c>
      <c r="C1012" s="10" t="s">
        <v>113</v>
      </c>
      <c r="D1012" s="10" t="s">
        <v>17</v>
      </c>
      <c r="E1012" s="11" t="s">
        <v>25</v>
      </c>
      <c r="F1012" s="5">
        <v>3308.38</v>
      </c>
      <c r="G1012" s="13" t="s">
        <v>114</v>
      </c>
      <c r="H1012" s="12">
        <f t="shared" si="15"/>
        <v>-3308.38</v>
      </c>
    </row>
    <row r="1013" spans="1:8">
      <c r="A1013" s="14">
        <v>1008</v>
      </c>
      <c r="B1013" s="9">
        <v>45968</v>
      </c>
      <c r="C1013" s="10" t="s">
        <v>113</v>
      </c>
      <c r="D1013" s="10" t="s">
        <v>15</v>
      </c>
      <c r="E1013" s="11" t="s">
        <v>8</v>
      </c>
      <c r="F1013" s="5">
        <v>6157.43</v>
      </c>
      <c r="G1013" s="13" t="s">
        <v>114</v>
      </c>
      <c r="H1013" s="12">
        <f t="shared" si="15"/>
        <v>-6157.43</v>
      </c>
    </row>
    <row r="1014" spans="1:8">
      <c r="A1014" s="14">
        <v>1009</v>
      </c>
      <c r="B1014" s="9">
        <v>45968</v>
      </c>
      <c r="C1014" s="10" t="s">
        <v>113</v>
      </c>
      <c r="D1014" s="10" t="s">
        <v>10</v>
      </c>
      <c r="E1014" s="11" t="s">
        <v>70</v>
      </c>
      <c r="F1014" s="5">
        <v>2776.69</v>
      </c>
      <c r="G1014" s="13" t="s">
        <v>114</v>
      </c>
      <c r="H1014" s="12">
        <f t="shared" si="15"/>
        <v>-2776.69</v>
      </c>
    </row>
    <row r="1015" spans="1:8">
      <c r="A1015" s="14">
        <v>1010</v>
      </c>
      <c r="B1015" s="9">
        <v>45969</v>
      </c>
      <c r="C1015" s="10" t="s">
        <v>113</v>
      </c>
      <c r="D1015" s="10" t="s">
        <v>10</v>
      </c>
      <c r="E1015" s="11" t="s">
        <v>30</v>
      </c>
      <c r="F1015" s="5">
        <v>3498.64</v>
      </c>
      <c r="G1015" s="13" t="s">
        <v>114</v>
      </c>
      <c r="H1015" s="12">
        <f t="shared" si="15"/>
        <v>-3498.64</v>
      </c>
    </row>
    <row r="1016" spans="1:8">
      <c r="A1016" s="14">
        <v>1011</v>
      </c>
      <c r="B1016" s="9">
        <v>45969</v>
      </c>
      <c r="C1016" s="10" t="s">
        <v>113</v>
      </c>
      <c r="D1016" s="10" t="s">
        <v>9</v>
      </c>
      <c r="E1016" s="11" t="s">
        <v>27</v>
      </c>
      <c r="F1016" s="5">
        <v>678.24</v>
      </c>
      <c r="G1016" s="13" t="s">
        <v>114</v>
      </c>
      <c r="H1016" s="12">
        <f t="shared" si="15"/>
        <v>-678.24</v>
      </c>
    </row>
    <row r="1017" spans="1:8">
      <c r="A1017" s="14">
        <v>1012</v>
      </c>
      <c r="B1017" s="9">
        <v>45971</v>
      </c>
      <c r="C1017" s="10" t="s">
        <v>113</v>
      </c>
      <c r="D1017" s="10" t="s">
        <v>15</v>
      </c>
      <c r="E1017" s="11" t="s">
        <v>61</v>
      </c>
      <c r="F1017" s="5">
        <v>814.06</v>
      </c>
      <c r="G1017" s="13" t="s">
        <v>114</v>
      </c>
      <c r="H1017" s="12">
        <f t="shared" si="15"/>
        <v>-814.06</v>
      </c>
    </row>
    <row r="1018" spans="1:8">
      <c r="A1018" s="14">
        <v>1013</v>
      </c>
      <c r="B1018" s="9">
        <v>45971</v>
      </c>
      <c r="C1018" s="10" t="s">
        <v>113</v>
      </c>
      <c r="D1018" s="10" t="s">
        <v>17</v>
      </c>
      <c r="E1018" s="11" t="s">
        <v>25</v>
      </c>
      <c r="F1018" s="5">
        <v>2473.41</v>
      </c>
      <c r="G1018" s="13" t="s">
        <v>114</v>
      </c>
      <c r="H1018" s="12">
        <f t="shared" si="15"/>
        <v>-2473.41</v>
      </c>
    </row>
    <row r="1019" spans="1:8">
      <c r="A1019" s="14">
        <v>1014</v>
      </c>
      <c r="B1019" s="9">
        <v>45971</v>
      </c>
      <c r="C1019" s="10" t="s">
        <v>113</v>
      </c>
      <c r="D1019" s="10" t="s">
        <v>9</v>
      </c>
      <c r="E1019" s="11" t="s">
        <v>56</v>
      </c>
      <c r="F1019" s="5">
        <v>3368.67</v>
      </c>
      <c r="G1019" s="13" t="s">
        <v>114</v>
      </c>
      <c r="H1019" s="12">
        <f t="shared" si="15"/>
        <v>-3368.67</v>
      </c>
    </row>
    <row r="1020" spans="1:8">
      <c r="A1020" s="14">
        <v>1015</v>
      </c>
      <c r="B1020" s="9">
        <v>45971</v>
      </c>
      <c r="C1020" s="10" t="s">
        <v>113</v>
      </c>
      <c r="D1020" s="10" t="s">
        <v>14</v>
      </c>
      <c r="E1020" s="11" t="s">
        <v>58</v>
      </c>
      <c r="F1020" s="5">
        <v>582.29</v>
      </c>
      <c r="G1020" s="13" t="s">
        <v>114</v>
      </c>
      <c r="H1020" s="12">
        <f t="shared" si="15"/>
        <v>-582.29</v>
      </c>
    </row>
    <row r="1021" spans="1:8">
      <c r="A1021" s="14">
        <v>1016</v>
      </c>
      <c r="B1021" s="9">
        <v>45971</v>
      </c>
      <c r="C1021" s="10" t="s">
        <v>113</v>
      </c>
      <c r="D1021" s="10" t="s">
        <v>15</v>
      </c>
      <c r="E1021" s="11" t="s">
        <v>37</v>
      </c>
      <c r="F1021" s="5">
        <v>774.44</v>
      </c>
      <c r="G1021" s="13" t="s">
        <v>114</v>
      </c>
      <c r="H1021" s="12">
        <f t="shared" si="15"/>
        <v>-774.44</v>
      </c>
    </row>
    <row r="1022" spans="1:8">
      <c r="A1022" s="14">
        <v>1017</v>
      </c>
      <c r="B1022" s="9">
        <v>45971</v>
      </c>
      <c r="C1022" s="10" t="s">
        <v>113</v>
      </c>
      <c r="D1022" s="10" t="s">
        <v>15</v>
      </c>
      <c r="E1022" s="11" t="s">
        <v>43</v>
      </c>
      <c r="F1022" s="5">
        <v>1922.18</v>
      </c>
      <c r="G1022" s="13" t="s">
        <v>114</v>
      </c>
      <c r="H1022" s="12">
        <f t="shared" si="15"/>
        <v>-1922.18</v>
      </c>
    </row>
    <row r="1023" spans="1:8">
      <c r="A1023" s="14">
        <v>1018</v>
      </c>
      <c r="B1023" s="9">
        <v>45972</v>
      </c>
      <c r="C1023" s="10" t="s">
        <v>113</v>
      </c>
      <c r="D1023" s="10" t="s">
        <v>16</v>
      </c>
      <c r="E1023" s="11" t="s">
        <v>22</v>
      </c>
      <c r="F1023" s="5">
        <v>3664.68</v>
      </c>
      <c r="G1023" s="13" t="s">
        <v>114</v>
      </c>
      <c r="H1023" s="12">
        <f t="shared" si="15"/>
        <v>-3664.68</v>
      </c>
    </row>
    <row r="1024" spans="1:8">
      <c r="A1024" s="14">
        <v>1019</v>
      </c>
      <c r="B1024" s="9">
        <v>45972</v>
      </c>
      <c r="C1024" s="10" t="s">
        <v>113</v>
      </c>
      <c r="D1024" s="10" t="s">
        <v>9</v>
      </c>
      <c r="E1024" s="11" t="s">
        <v>67</v>
      </c>
      <c r="F1024" s="5">
        <v>1709.53</v>
      </c>
      <c r="G1024" s="13" t="s">
        <v>114</v>
      </c>
      <c r="H1024" s="12">
        <f t="shared" si="15"/>
        <v>-1709.53</v>
      </c>
    </row>
    <row r="1025" spans="1:8">
      <c r="A1025" s="14">
        <v>1020</v>
      </c>
      <c r="B1025" s="9">
        <v>45972</v>
      </c>
      <c r="C1025" s="10" t="s">
        <v>113</v>
      </c>
      <c r="D1025" s="10" t="s">
        <v>15</v>
      </c>
      <c r="E1025" s="11" t="s">
        <v>61</v>
      </c>
      <c r="F1025" s="5">
        <v>660.93</v>
      </c>
      <c r="G1025" s="13" t="s">
        <v>114</v>
      </c>
      <c r="H1025" s="12">
        <f t="shared" si="15"/>
        <v>-660.93</v>
      </c>
    </row>
    <row r="1026" spans="1:8">
      <c r="A1026" s="14">
        <v>1021</v>
      </c>
      <c r="B1026" s="9">
        <v>45973</v>
      </c>
      <c r="C1026" s="10" t="s">
        <v>113</v>
      </c>
      <c r="D1026" s="10" t="s">
        <v>14</v>
      </c>
      <c r="E1026" s="11" t="s">
        <v>52</v>
      </c>
      <c r="F1026" s="5">
        <v>1002.11</v>
      </c>
      <c r="G1026" s="13" t="s">
        <v>114</v>
      </c>
      <c r="H1026" s="12">
        <f t="shared" si="15"/>
        <v>-1002.11</v>
      </c>
    </row>
    <row r="1027" spans="1:8">
      <c r="A1027" s="14">
        <v>1022</v>
      </c>
      <c r="B1027" s="9">
        <v>45973</v>
      </c>
      <c r="C1027" s="10" t="s">
        <v>113</v>
      </c>
      <c r="D1027" s="10" t="s">
        <v>10</v>
      </c>
      <c r="E1027" s="11" t="s">
        <v>65</v>
      </c>
      <c r="F1027" s="5">
        <v>2722.87</v>
      </c>
      <c r="G1027" s="13" t="s">
        <v>114</v>
      </c>
      <c r="H1027" s="12">
        <f t="shared" si="15"/>
        <v>-2722.87</v>
      </c>
    </row>
    <row r="1028" spans="1:8">
      <c r="A1028" s="14">
        <v>1023</v>
      </c>
      <c r="B1028" s="9">
        <v>45973</v>
      </c>
      <c r="C1028" s="10" t="s">
        <v>113</v>
      </c>
      <c r="D1028" s="10" t="s">
        <v>14</v>
      </c>
      <c r="E1028" s="11" t="s">
        <v>64</v>
      </c>
      <c r="F1028" s="5">
        <v>1900.29</v>
      </c>
      <c r="G1028" s="13" t="s">
        <v>114</v>
      </c>
      <c r="H1028" s="12">
        <f t="shared" si="15"/>
        <v>-1900.29</v>
      </c>
    </row>
    <row r="1029" spans="1:8">
      <c r="A1029" s="14">
        <v>1024</v>
      </c>
      <c r="B1029" s="9">
        <v>45975</v>
      </c>
      <c r="C1029" s="10" t="s">
        <v>113</v>
      </c>
      <c r="D1029" s="10" t="s">
        <v>14</v>
      </c>
      <c r="E1029" s="11" t="s">
        <v>64</v>
      </c>
      <c r="F1029" s="5">
        <v>1807.37</v>
      </c>
      <c r="G1029" s="13" t="s">
        <v>114</v>
      </c>
      <c r="H1029" s="12">
        <f t="shared" ref="H1029:H1092" si="16">IF(C1029="Despesa", F1029*-1, F1029)</f>
        <v>-1807.37</v>
      </c>
    </row>
    <row r="1030" spans="1:8">
      <c r="A1030" s="14">
        <v>1025</v>
      </c>
      <c r="B1030" s="9">
        <v>45975</v>
      </c>
      <c r="C1030" s="10" t="s">
        <v>113</v>
      </c>
      <c r="D1030" s="10" t="s">
        <v>9</v>
      </c>
      <c r="E1030" s="11" t="s">
        <v>21</v>
      </c>
      <c r="F1030" s="5">
        <v>2625.88</v>
      </c>
      <c r="G1030" s="13" t="s">
        <v>114</v>
      </c>
      <c r="H1030" s="12">
        <f t="shared" si="16"/>
        <v>-2625.88</v>
      </c>
    </row>
    <row r="1031" spans="1:8">
      <c r="A1031" s="14">
        <v>1026</v>
      </c>
      <c r="B1031" s="9">
        <v>45975</v>
      </c>
      <c r="C1031" s="10" t="s">
        <v>113</v>
      </c>
      <c r="D1031" s="10" t="s">
        <v>17</v>
      </c>
      <c r="E1031" s="11" t="s">
        <v>48</v>
      </c>
      <c r="F1031" s="5">
        <v>2533.59</v>
      </c>
      <c r="G1031" s="13" t="s">
        <v>114</v>
      </c>
      <c r="H1031" s="12">
        <f t="shared" si="16"/>
        <v>-2533.59</v>
      </c>
    </row>
    <row r="1032" spans="1:8">
      <c r="A1032" s="14">
        <v>1027</v>
      </c>
      <c r="B1032" s="9">
        <v>45976</v>
      </c>
      <c r="C1032" s="10" t="s">
        <v>113</v>
      </c>
      <c r="D1032" s="10" t="s">
        <v>17</v>
      </c>
      <c r="E1032" s="11" t="s">
        <v>54</v>
      </c>
      <c r="F1032" s="5">
        <v>2334.7399999999998</v>
      </c>
      <c r="G1032" s="13" t="s">
        <v>114</v>
      </c>
      <c r="H1032" s="12">
        <f t="shared" si="16"/>
        <v>-2334.7399999999998</v>
      </c>
    </row>
    <row r="1033" spans="1:8">
      <c r="A1033" s="14">
        <v>1028</v>
      </c>
      <c r="B1033" s="9">
        <v>45977</v>
      </c>
      <c r="C1033" s="10" t="s">
        <v>113</v>
      </c>
      <c r="D1033" s="10" t="s">
        <v>14</v>
      </c>
      <c r="E1033" s="11" t="s">
        <v>23</v>
      </c>
      <c r="F1033" s="5">
        <v>8857.4599999999991</v>
      </c>
      <c r="G1033" s="13" t="s">
        <v>114</v>
      </c>
      <c r="H1033" s="12">
        <f t="shared" si="16"/>
        <v>-8857.4599999999991</v>
      </c>
    </row>
    <row r="1034" spans="1:8">
      <c r="A1034" s="14">
        <v>1029</v>
      </c>
      <c r="B1034" s="9">
        <v>45977</v>
      </c>
      <c r="C1034" s="10" t="s">
        <v>113</v>
      </c>
      <c r="D1034" s="10" t="s">
        <v>14</v>
      </c>
      <c r="E1034" s="11" t="s">
        <v>23</v>
      </c>
      <c r="F1034" s="5">
        <v>3623.93</v>
      </c>
      <c r="G1034" s="13" t="s">
        <v>114</v>
      </c>
      <c r="H1034" s="12">
        <f t="shared" si="16"/>
        <v>-3623.93</v>
      </c>
    </row>
    <row r="1035" spans="1:8">
      <c r="A1035" s="14">
        <v>1030</v>
      </c>
      <c r="B1035" s="9">
        <v>45977</v>
      </c>
      <c r="C1035" s="10" t="s">
        <v>113</v>
      </c>
      <c r="D1035" s="10" t="s">
        <v>15</v>
      </c>
      <c r="E1035" s="11" t="s">
        <v>55</v>
      </c>
      <c r="F1035" s="5">
        <v>5621.82</v>
      </c>
      <c r="G1035" s="13" t="s">
        <v>114</v>
      </c>
      <c r="H1035" s="12">
        <f t="shared" si="16"/>
        <v>-5621.82</v>
      </c>
    </row>
    <row r="1036" spans="1:8">
      <c r="A1036" s="14">
        <v>1031</v>
      </c>
      <c r="B1036" s="9">
        <v>45977</v>
      </c>
      <c r="C1036" s="10" t="s">
        <v>113</v>
      </c>
      <c r="D1036" s="10" t="s">
        <v>15</v>
      </c>
      <c r="E1036" s="11" t="s">
        <v>37</v>
      </c>
      <c r="F1036" s="5">
        <v>427.03</v>
      </c>
      <c r="G1036" s="13" t="s">
        <v>114</v>
      </c>
      <c r="H1036" s="12">
        <f t="shared" si="16"/>
        <v>-427.03</v>
      </c>
    </row>
    <row r="1037" spans="1:8">
      <c r="A1037" s="14">
        <v>1032</v>
      </c>
      <c r="B1037" s="9">
        <v>45978</v>
      </c>
      <c r="C1037" s="10" t="s">
        <v>113</v>
      </c>
      <c r="D1037" s="10" t="s">
        <v>9</v>
      </c>
      <c r="E1037" s="11" t="s">
        <v>32</v>
      </c>
      <c r="F1037" s="5">
        <v>1876.79</v>
      </c>
      <c r="G1037" s="13" t="s">
        <v>114</v>
      </c>
      <c r="H1037" s="12">
        <f t="shared" si="16"/>
        <v>-1876.79</v>
      </c>
    </row>
    <row r="1038" spans="1:8">
      <c r="A1038" s="14">
        <v>1033</v>
      </c>
      <c r="B1038" s="9">
        <v>45978</v>
      </c>
      <c r="C1038" s="10" t="s">
        <v>113</v>
      </c>
      <c r="D1038" s="10" t="s">
        <v>16</v>
      </c>
      <c r="E1038" s="11" t="s">
        <v>22</v>
      </c>
      <c r="F1038" s="5">
        <v>2377.4299999999998</v>
      </c>
      <c r="G1038" s="13" t="s">
        <v>114</v>
      </c>
      <c r="H1038" s="12">
        <f t="shared" si="16"/>
        <v>-2377.4299999999998</v>
      </c>
    </row>
    <row r="1039" spans="1:8">
      <c r="A1039" s="14">
        <v>1034</v>
      </c>
      <c r="B1039" s="9">
        <v>45978</v>
      </c>
      <c r="C1039" s="10" t="s">
        <v>113</v>
      </c>
      <c r="D1039" s="10" t="s">
        <v>15</v>
      </c>
      <c r="E1039" s="11" t="s">
        <v>26</v>
      </c>
      <c r="F1039" s="5">
        <v>4593.76</v>
      </c>
      <c r="G1039" s="13" t="s">
        <v>114</v>
      </c>
      <c r="H1039" s="12">
        <f t="shared" si="16"/>
        <v>-4593.76</v>
      </c>
    </row>
    <row r="1040" spans="1:8">
      <c r="A1040" s="14">
        <v>1035</v>
      </c>
      <c r="B1040" s="9">
        <v>45978</v>
      </c>
      <c r="C1040" s="10" t="s">
        <v>113</v>
      </c>
      <c r="D1040" s="10" t="s">
        <v>17</v>
      </c>
      <c r="E1040" s="11" t="s">
        <v>54</v>
      </c>
      <c r="F1040" s="5">
        <v>1747.93</v>
      </c>
      <c r="G1040" s="13" t="s">
        <v>114</v>
      </c>
      <c r="H1040" s="12">
        <f t="shared" si="16"/>
        <v>-1747.93</v>
      </c>
    </row>
    <row r="1041" spans="1:8">
      <c r="A1041" s="14">
        <v>1036</v>
      </c>
      <c r="B1041" s="9">
        <v>45979</v>
      </c>
      <c r="C1041" s="10" t="s">
        <v>113</v>
      </c>
      <c r="D1041" s="10" t="s">
        <v>10</v>
      </c>
      <c r="E1041" s="11" t="s">
        <v>65</v>
      </c>
      <c r="F1041" s="5">
        <v>2755.63</v>
      </c>
      <c r="G1041" s="13" t="s">
        <v>114</v>
      </c>
      <c r="H1041" s="12">
        <f t="shared" si="16"/>
        <v>-2755.63</v>
      </c>
    </row>
    <row r="1042" spans="1:8">
      <c r="A1042" s="14">
        <v>1037</v>
      </c>
      <c r="B1042" s="9">
        <v>45979</v>
      </c>
      <c r="C1042" s="10" t="s">
        <v>113</v>
      </c>
      <c r="D1042" s="10" t="s">
        <v>16</v>
      </c>
      <c r="E1042" s="11" t="s">
        <v>57</v>
      </c>
      <c r="F1042" s="5">
        <v>910.91</v>
      </c>
      <c r="G1042" s="13" t="s">
        <v>114</v>
      </c>
      <c r="H1042" s="12">
        <f t="shared" si="16"/>
        <v>-910.91</v>
      </c>
    </row>
    <row r="1043" spans="1:8">
      <c r="A1043" s="14">
        <v>1038</v>
      </c>
      <c r="B1043" s="9">
        <v>45979</v>
      </c>
      <c r="C1043" s="10" t="s">
        <v>113</v>
      </c>
      <c r="D1043" s="10" t="s">
        <v>14</v>
      </c>
      <c r="E1043" s="11" t="s">
        <v>23</v>
      </c>
      <c r="F1043" s="5">
        <v>5099.6000000000004</v>
      </c>
      <c r="G1043" s="13" t="s">
        <v>114</v>
      </c>
      <c r="H1043" s="12">
        <f t="shared" si="16"/>
        <v>-5099.6000000000004</v>
      </c>
    </row>
    <row r="1044" spans="1:8">
      <c r="A1044" s="14">
        <v>1039</v>
      </c>
      <c r="B1044" s="9">
        <v>45979</v>
      </c>
      <c r="C1044" s="10" t="s">
        <v>113</v>
      </c>
      <c r="D1044" s="10" t="s">
        <v>15</v>
      </c>
      <c r="E1044" s="11" t="s">
        <v>7</v>
      </c>
      <c r="F1044" s="5">
        <v>1378.64</v>
      </c>
      <c r="G1044" s="13" t="s">
        <v>114</v>
      </c>
      <c r="H1044" s="12">
        <f t="shared" si="16"/>
        <v>-1378.64</v>
      </c>
    </row>
    <row r="1045" spans="1:8">
      <c r="A1045" s="14">
        <v>1040</v>
      </c>
      <c r="B1045" s="9">
        <v>45979</v>
      </c>
      <c r="C1045" s="10" t="s">
        <v>113</v>
      </c>
      <c r="D1045" s="10" t="s">
        <v>14</v>
      </c>
      <c r="E1045" s="11" t="s">
        <v>23</v>
      </c>
      <c r="F1045" s="5">
        <v>3504.83</v>
      </c>
      <c r="G1045" s="13" t="s">
        <v>114</v>
      </c>
      <c r="H1045" s="12">
        <f t="shared" si="16"/>
        <v>-3504.83</v>
      </c>
    </row>
    <row r="1046" spans="1:8">
      <c r="A1046" s="14">
        <v>1041</v>
      </c>
      <c r="B1046" s="9">
        <v>45979</v>
      </c>
      <c r="C1046" s="10" t="s">
        <v>113</v>
      </c>
      <c r="D1046" s="10" t="s">
        <v>10</v>
      </c>
      <c r="E1046" s="11" t="s">
        <v>24</v>
      </c>
      <c r="F1046" s="5">
        <v>8488.89</v>
      </c>
      <c r="G1046" s="13" t="s">
        <v>114</v>
      </c>
      <c r="H1046" s="12">
        <f t="shared" si="16"/>
        <v>-8488.89</v>
      </c>
    </row>
    <row r="1047" spans="1:8">
      <c r="A1047" s="14">
        <v>1042</v>
      </c>
      <c r="B1047" s="9">
        <v>45980</v>
      </c>
      <c r="C1047" s="10" t="s">
        <v>113</v>
      </c>
      <c r="D1047" s="10" t="s">
        <v>14</v>
      </c>
      <c r="E1047" s="11" t="s">
        <v>46</v>
      </c>
      <c r="F1047" s="5">
        <v>1312</v>
      </c>
      <c r="G1047" s="13" t="s">
        <v>114</v>
      </c>
      <c r="H1047" s="12">
        <f t="shared" si="16"/>
        <v>-1312</v>
      </c>
    </row>
    <row r="1048" spans="1:8">
      <c r="A1048" s="14">
        <v>1043</v>
      </c>
      <c r="B1048" s="9">
        <v>45980</v>
      </c>
      <c r="C1048" s="10" t="s">
        <v>113</v>
      </c>
      <c r="D1048" s="10" t="s">
        <v>15</v>
      </c>
      <c r="E1048" s="11" t="s">
        <v>43</v>
      </c>
      <c r="F1048" s="5">
        <v>2200.3000000000002</v>
      </c>
      <c r="G1048" s="13" t="s">
        <v>114</v>
      </c>
      <c r="H1048" s="12">
        <f t="shared" si="16"/>
        <v>-2200.3000000000002</v>
      </c>
    </row>
    <row r="1049" spans="1:8">
      <c r="A1049" s="14">
        <v>1044</v>
      </c>
      <c r="B1049" s="9">
        <v>45980</v>
      </c>
      <c r="C1049" s="10" t="s">
        <v>113</v>
      </c>
      <c r="D1049" s="10" t="s">
        <v>10</v>
      </c>
      <c r="E1049" s="11" t="s">
        <v>53</v>
      </c>
      <c r="F1049" s="5">
        <v>2985.02</v>
      </c>
      <c r="G1049" s="13" t="s">
        <v>114</v>
      </c>
      <c r="H1049" s="12">
        <f t="shared" si="16"/>
        <v>-2985.02</v>
      </c>
    </row>
    <row r="1050" spans="1:8">
      <c r="A1050" s="14">
        <v>1045</v>
      </c>
      <c r="B1050" s="9">
        <v>45980</v>
      </c>
      <c r="C1050" s="10" t="s">
        <v>113</v>
      </c>
      <c r="D1050" s="10" t="s">
        <v>15</v>
      </c>
      <c r="E1050" s="11" t="s">
        <v>26</v>
      </c>
      <c r="F1050" s="5">
        <v>4769.51</v>
      </c>
      <c r="G1050" s="13" t="s">
        <v>114</v>
      </c>
      <c r="H1050" s="12">
        <f t="shared" si="16"/>
        <v>-4769.51</v>
      </c>
    </row>
    <row r="1051" spans="1:8">
      <c r="A1051" s="14">
        <v>1046</v>
      </c>
      <c r="B1051" s="9">
        <v>45980</v>
      </c>
      <c r="C1051" s="10" t="s">
        <v>113</v>
      </c>
      <c r="D1051" s="10" t="s">
        <v>14</v>
      </c>
      <c r="E1051" s="11" t="s">
        <v>64</v>
      </c>
      <c r="F1051" s="5">
        <v>1317.73</v>
      </c>
      <c r="G1051" s="13" t="s">
        <v>114</v>
      </c>
      <c r="H1051" s="12">
        <f t="shared" si="16"/>
        <v>-1317.73</v>
      </c>
    </row>
    <row r="1052" spans="1:8">
      <c r="A1052" s="14">
        <v>1047</v>
      </c>
      <c r="B1052" s="9">
        <v>45980</v>
      </c>
      <c r="C1052" s="10" t="s">
        <v>113</v>
      </c>
      <c r="D1052" s="10" t="s">
        <v>9</v>
      </c>
      <c r="E1052" s="11" t="s">
        <v>27</v>
      </c>
      <c r="F1052" s="5">
        <v>2230.77</v>
      </c>
      <c r="G1052" s="13" t="s">
        <v>114</v>
      </c>
      <c r="H1052" s="12">
        <f t="shared" si="16"/>
        <v>-2230.77</v>
      </c>
    </row>
    <row r="1053" spans="1:8">
      <c r="A1053" s="14">
        <v>1048</v>
      </c>
      <c r="B1053" s="9">
        <v>45981</v>
      </c>
      <c r="C1053" s="10" t="s">
        <v>113</v>
      </c>
      <c r="D1053" s="10" t="s">
        <v>14</v>
      </c>
      <c r="E1053" s="11" t="s">
        <v>29</v>
      </c>
      <c r="F1053" s="5">
        <v>1640.22</v>
      </c>
      <c r="G1053" s="13" t="s">
        <v>114</v>
      </c>
      <c r="H1053" s="12">
        <f t="shared" si="16"/>
        <v>-1640.22</v>
      </c>
    </row>
    <row r="1054" spans="1:8">
      <c r="A1054" s="14">
        <v>1049</v>
      </c>
      <c r="B1054" s="9">
        <v>45981</v>
      </c>
      <c r="C1054" s="10" t="s">
        <v>113</v>
      </c>
      <c r="D1054" s="10" t="s">
        <v>10</v>
      </c>
      <c r="E1054" s="11" t="s">
        <v>24</v>
      </c>
      <c r="F1054" s="5">
        <v>6657.77</v>
      </c>
      <c r="G1054" s="13" t="s">
        <v>114</v>
      </c>
      <c r="H1054" s="12">
        <f t="shared" si="16"/>
        <v>-6657.77</v>
      </c>
    </row>
    <row r="1055" spans="1:8">
      <c r="A1055" s="14">
        <v>1050</v>
      </c>
      <c r="B1055" s="9">
        <v>45981</v>
      </c>
      <c r="C1055" s="10" t="s">
        <v>113</v>
      </c>
      <c r="D1055" s="10" t="s">
        <v>14</v>
      </c>
      <c r="E1055" s="11" t="s">
        <v>29</v>
      </c>
      <c r="F1055" s="5">
        <v>856.7</v>
      </c>
      <c r="G1055" s="13" t="s">
        <v>114</v>
      </c>
      <c r="H1055" s="12">
        <f t="shared" si="16"/>
        <v>-856.7</v>
      </c>
    </row>
    <row r="1056" spans="1:8">
      <c r="A1056" s="14">
        <v>1051</v>
      </c>
      <c r="B1056" s="9">
        <v>45981</v>
      </c>
      <c r="C1056" s="10" t="s">
        <v>113</v>
      </c>
      <c r="D1056" s="10" t="s">
        <v>9</v>
      </c>
      <c r="E1056" s="11" t="s">
        <v>44</v>
      </c>
      <c r="F1056" s="5">
        <v>1394.21</v>
      </c>
      <c r="G1056" s="13" t="s">
        <v>114</v>
      </c>
      <c r="H1056" s="12">
        <f t="shared" si="16"/>
        <v>-1394.21</v>
      </c>
    </row>
    <row r="1057" spans="1:8">
      <c r="A1057" s="14">
        <v>1052</v>
      </c>
      <c r="B1057" s="9">
        <v>45981</v>
      </c>
      <c r="C1057" s="10" t="s">
        <v>113</v>
      </c>
      <c r="D1057" s="10" t="s">
        <v>14</v>
      </c>
      <c r="E1057" s="11" t="s">
        <v>52</v>
      </c>
      <c r="F1057" s="5">
        <v>629.85</v>
      </c>
      <c r="G1057" s="13" t="s">
        <v>114</v>
      </c>
      <c r="H1057" s="12">
        <f t="shared" si="16"/>
        <v>-629.85</v>
      </c>
    </row>
    <row r="1058" spans="1:8">
      <c r="A1058" s="14">
        <v>1053</v>
      </c>
      <c r="B1058" s="9">
        <v>45981</v>
      </c>
      <c r="C1058" s="10" t="s">
        <v>113</v>
      </c>
      <c r="D1058" s="10" t="s">
        <v>15</v>
      </c>
      <c r="E1058" s="11" t="s">
        <v>8</v>
      </c>
      <c r="F1058" s="5">
        <v>6134.39</v>
      </c>
      <c r="G1058" s="13" t="s">
        <v>114</v>
      </c>
      <c r="H1058" s="12">
        <f t="shared" si="16"/>
        <v>-6134.39</v>
      </c>
    </row>
    <row r="1059" spans="1:8">
      <c r="A1059" s="14">
        <v>1054</v>
      </c>
      <c r="B1059" s="9">
        <v>45982</v>
      </c>
      <c r="C1059" s="10" t="s">
        <v>113</v>
      </c>
      <c r="D1059" s="10" t="s">
        <v>10</v>
      </c>
      <c r="E1059" s="11" t="s">
        <v>65</v>
      </c>
      <c r="F1059" s="5">
        <v>3294.12</v>
      </c>
      <c r="G1059" s="13" t="s">
        <v>114</v>
      </c>
      <c r="H1059" s="12">
        <f t="shared" si="16"/>
        <v>-3294.12</v>
      </c>
    </row>
    <row r="1060" spans="1:8">
      <c r="A1060" s="14">
        <v>1055</v>
      </c>
      <c r="B1060" s="9">
        <v>45982</v>
      </c>
      <c r="C1060" s="10" t="s">
        <v>113</v>
      </c>
      <c r="D1060" s="10" t="s">
        <v>10</v>
      </c>
      <c r="E1060" s="11" t="s">
        <v>53</v>
      </c>
      <c r="F1060" s="5">
        <v>3941.66</v>
      </c>
      <c r="G1060" s="13" t="s">
        <v>114</v>
      </c>
      <c r="H1060" s="12">
        <f t="shared" si="16"/>
        <v>-3941.66</v>
      </c>
    </row>
    <row r="1061" spans="1:8">
      <c r="A1061" s="14">
        <v>1056</v>
      </c>
      <c r="B1061" s="9">
        <v>45982</v>
      </c>
      <c r="C1061" s="10" t="s">
        <v>113</v>
      </c>
      <c r="D1061" s="10" t="s">
        <v>16</v>
      </c>
      <c r="E1061" s="11" t="s">
        <v>57</v>
      </c>
      <c r="F1061" s="5">
        <v>1718.29</v>
      </c>
      <c r="G1061" s="13" t="s">
        <v>114</v>
      </c>
      <c r="H1061" s="12">
        <f t="shared" si="16"/>
        <v>-1718.29</v>
      </c>
    </row>
    <row r="1062" spans="1:8">
      <c r="A1062" s="14">
        <v>1057</v>
      </c>
      <c r="B1062" s="9">
        <v>45982</v>
      </c>
      <c r="C1062" s="10" t="s">
        <v>113</v>
      </c>
      <c r="D1062" s="10" t="s">
        <v>15</v>
      </c>
      <c r="E1062" s="11" t="s">
        <v>7</v>
      </c>
      <c r="F1062" s="5">
        <v>1033.8800000000001</v>
      </c>
      <c r="G1062" s="13" t="s">
        <v>114</v>
      </c>
      <c r="H1062" s="12">
        <f t="shared" si="16"/>
        <v>-1033.8800000000001</v>
      </c>
    </row>
    <row r="1063" spans="1:8">
      <c r="A1063" s="14">
        <v>1058</v>
      </c>
      <c r="B1063" s="9">
        <v>45982</v>
      </c>
      <c r="C1063" s="10" t="s">
        <v>113</v>
      </c>
      <c r="D1063" s="10" t="s">
        <v>15</v>
      </c>
      <c r="E1063" s="11" t="s">
        <v>37</v>
      </c>
      <c r="F1063" s="5">
        <v>442.58</v>
      </c>
      <c r="G1063" s="13" t="s">
        <v>114</v>
      </c>
      <c r="H1063" s="12">
        <f t="shared" si="16"/>
        <v>-442.58</v>
      </c>
    </row>
    <row r="1064" spans="1:8">
      <c r="A1064" s="14">
        <v>1059</v>
      </c>
      <c r="B1064" s="9">
        <v>45982</v>
      </c>
      <c r="C1064" s="10" t="s">
        <v>113</v>
      </c>
      <c r="D1064" s="10" t="s">
        <v>15</v>
      </c>
      <c r="E1064" s="11" t="s">
        <v>55</v>
      </c>
      <c r="F1064" s="5">
        <v>3361.71</v>
      </c>
      <c r="G1064" s="13" t="s">
        <v>114</v>
      </c>
      <c r="H1064" s="12">
        <f t="shared" si="16"/>
        <v>-3361.71</v>
      </c>
    </row>
    <row r="1065" spans="1:8">
      <c r="A1065" s="14">
        <v>1060</v>
      </c>
      <c r="B1065" s="9">
        <v>45983</v>
      </c>
      <c r="C1065" s="10" t="s">
        <v>113</v>
      </c>
      <c r="D1065" s="10" t="s">
        <v>17</v>
      </c>
      <c r="E1065" s="11" t="s">
        <v>31</v>
      </c>
      <c r="F1065" s="5">
        <v>7347.76</v>
      </c>
      <c r="G1065" s="13" t="s">
        <v>114</v>
      </c>
      <c r="H1065" s="12">
        <f t="shared" si="16"/>
        <v>-7347.76</v>
      </c>
    </row>
    <row r="1066" spans="1:8">
      <c r="A1066" s="14">
        <v>1061</v>
      </c>
      <c r="B1066" s="9">
        <v>45983</v>
      </c>
      <c r="C1066" s="10" t="s">
        <v>113</v>
      </c>
      <c r="D1066" s="10" t="s">
        <v>14</v>
      </c>
      <c r="E1066" s="11" t="s">
        <v>69</v>
      </c>
      <c r="F1066" s="5">
        <v>3718.07</v>
      </c>
      <c r="G1066" s="13" t="s">
        <v>114</v>
      </c>
      <c r="H1066" s="12">
        <f t="shared" si="16"/>
        <v>-3718.07</v>
      </c>
    </row>
    <row r="1067" spans="1:8">
      <c r="A1067" s="14">
        <v>1062</v>
      </c>
      <c r="B1067" s="9">
        <v>45983</v>
      </c>
      <c r="C1067" s="10" t="s">
        <v>113</v>
      </c>
      <c r="D1067" s="10" t="s">
        <v>9</v>
      </c>
      <c r="E1067" s="11" t="s">
        <v>21</v>
      </c>
      <c r="F1067" s="5">
        <v>3055.93</v>
      </c>
      <c r="G1067" s="13" t="s">
        <v>114</v>
      </c>
      <c r="H1067" s="12">
        <f t="shared" si="16"/>
        <v>-3055.93</v>
      </c>
    </row>
    <row r="1068" spans="1:8">
      <c r="A1068" s="14">
        <v>1063</v>
      </c>
      <c r="B1068" s="9">
        <v>45983</v>
      </c>
      <c r="C1068" s="10" t="s">
        <v>113</v>
      </c>
      <c r="D1068" s="10" t="s">
        <v>10</v>
      </c>
      <c r="E1068" s="11" t="s">
        <v>19</v>
      </c>
      <c r="F1068" s="5">
        <v>7963.13</v>
      </c>
      <c r="G1068" s="13" t="s">
        <v>114</v>
      </c>
      <c r="H1068" s="12">
        <f t="shared" si="16"/>
        <v>-7963.13</v>
      </c>
    </row>
    <row r="1069" spans="1:8">
      <c r="A1069" s="14">
        <v>1064</v>
      </c>
      <c r="B1069" s="9">
        <v>45984</v>
      </c>
      <c r="C1069" s="10" t="s">
        <v>113</v>
      </c>
      <c r="D1069" s="10" t="s">
        <v>15</v>
      </c>
      <c r="E1069" s="11" t="s">
        <v>37</v>
      </c>
      <c r="F1069" s="5">
        <v>563.29</v>
      </c>
      <c r="G1069" s="13" t="s">
        <v>114</v>
      </c>
      <c r="H1069" s="12">
        <f t="shared" si="16"/>
        <v>-563.29</v>
      </c>
    </row>
    <row r="1070" spans="1:8">
      <c r="A1070" s="14">
        <v>1065</v>
      </c>
      <c r="B1070" s="9">
        <v>45985</v>
      </c>
      <c r="C1070" s="10" t="s">
        <v>113</v>
      </c>
      <c r="D1070" s="10" t="s">
        <v>15</v>
      </c>
      <c r="E1070" s="11" t="s">
        <v>8</v>
      </c>
      <c r="F1070" s="5">
        <v>7068.29</v>
      </c>
      <c r="G1070" s="13" t="s">
        <v>114</v>
      </c>
      <c r="H1070" s="12">
        <f t="shared" si="16"/>
        <v>-7068.29</v>
      </c>
    </row>
    <row r="1071" spans="1:8">
      <c r="A1071" s="14">
        <v>1066</v>
      </c>
      <c r="B1071" s="9">
        <v>45985</v>
      </c>
      <c r="C1071" s="10" t="s">
        <v>113</v>
      </c>
      <c r="D1071" s="10" t="s">
        <v>10</v>
      </c>
      <c r="E1071" s="11" t="s">
        <v>70</v>
      </c>
      <c r="F1071" s="5">
        <v>3831.02</v>
      </c>
      <c r="G1071" s="13" t="s">
        <v>114</v>
      </c>
      <c r="H1071" s="12">
        <f t="shared" si="16"/>
        <v>-3831.02</v>
      </c>
    </row>
    <row r="1072" spans="1:8">
      <c r="A1072" s="14">
        <v>1067</v>
      </c>
      <c r="B1072" s="9">
        <v>45985</v>
      </c>
      <c r="C1072" s="10" t="s">
        <v>113</v>
      </c>
      <c r="D1072" s="10" t="s">
        <v>14</v>
      </c>
      <c r="E1072" s="11" t="s">
        <v>46</v>
      </c>
      <c r="F1072" s="5">
        <v>1953.64</v>
      </c>
      <c r="G1072" s="13" t="s">
        <v>114</v>
      </c>
      <c r="H1072" s="12">
        <f t="shared" si="16"/>
        <v>-1953.64</v>
      </c>
    </row>
    <row r="1073" spans="1:8">
      <c r="A1073" s="14">
        <v>1068</v>
      </c>
      <c r="B1073" s="9">
        <v>45985</v>
      </c>
      <c r="C1073" s="10" t="s">
        <v>113</v>
      </c>
      <c r="D1073" s="10" t="s">
        <v>16</v>
      </c>
      <c r="E1073" s="11" t="s">
        <v>63</v>
      </c>
      <c r="F1073" s="5">
        <v>6153.25</v>
      </c>
      <c r="G1073" s="13" t="s">
        <v>114</v>
      </c>
      <c r="H1073" s="12">
        <f t="shared" si="16"/>
        <v>-6153.25</v>
      </c>
    </row>
    <row r="1074" spans="1:8">
      <c r="A1074" s="14">
        <v>1069</v>
      </c>
      <c r="B1074" s="9">
        <v>45986</v>
      </c>
      <c r="C1074" s="10" t="s">
        <v>113</v>
      </c>
      <c r="D1074" s="10" t="s">
        <v>17</v>
      </c>
      <c r="E1074" s="11" t="s">
        <v>31</v>
      </c>
      <c r="F1074" s="5">
        <v>6165.63</v>
      </c>
      <c r="G1074" s="13" t="s">
        <v>114</v>
      </c>
      <c r="H1074" s="12">
        <f t="shared" si="16"/>
        <v>-6165.63</v>
      </c>
    </row>
    <row r="1075" spans="1:8">
      <c r="A1075" s="14">
        <v>1070</v>
      </c>
      <c r="B1075" s="9">
        <v>45987</v>
      </c>
      <c r="C1075" s="10" t="s">
        <v>113</v>
      </c>
      <c r="D1075" s="10" t="s">
        <v>14</v>
      </c>
      <c r="E1075" s="11" t="s">
        <v>74</v>
      </c>
      <c r="F1075" s="5">
        <v>1975.27</v>
      </c>
      <c r="G1075" s="13" t="s">
        <v>114</v>
      </c>
      <c r="H1075" s="12">
        <f t="shared" si="16"/>
        <v>-1975.27</v>
      </c>
    </row>
    <row r="1076" spans="1:8">
      <c r="A1076" s="14">
        <v>1071</v>
      </c>
      <c r="B1076" s="9">
        <v>45987</v>
      </c>
      <c r="C1076" s="10" t="s">
        <v>113</v>
      </c>
      <c r="D1076" s="10" t="s">
        <v>17</v>
      </c>
      <c r="E1076" s="11" t="s">
        <v>20</v>
      </c>
      <c r="F1076" s="5">
        <v>377.35</v>
      </c>
      <c r="G1076" s="13" t="s">
        <v>114</v>
      </c>
      <c r="H1076" s="12">
        <f t="shared" si="16"/>
        <v>-377.35</v>
      </c>
    </row>
    <row r="1077" spans="1:8">
      <c r="A1077" s="14">
        <v>1072</v>
      </c>
      <c r="B1077" s="9">
        <v>45987</v>
      </c>
      <c r="C1077" s="10" t="s">
        <v>113</v>
      </c>
      <c r="D1077" s="10" t="s">
        <v>16</v>
      </c>
      <c r="E1077" s="11" t="s">
        <v>63</v>
      </c>
      <c r="F1077" s="5">
        <v>2236.84</v>
      </c>
      <c r="G1077" s="13" t="s">
        <v>114</v>
      </c>
      <c r="H1077" s="12">
        <f t="shared" si="16"/>
        <v>-2236.84</v>
      </c>
    </row>
    <row r="1078" spans="1:8">
      <c r="A1078" s="14">
        <v>1073</v>
      </c>
      <c r="B1078" s="9">
        <v>45987</v>
      </c>
      <c r="C1078" s="10" t="s">
        <v>113</v>
      </c>
      <c r="D1078" s="10" t="s">
        <v>9</v>
      </c>
      <c r="E1078" s="11" t="s">
        <v>67</v>
      </c>
      <c r="F1078" s="5">
        <v>1132.99</v>
      </c>
      <c r="G1078" s="13" t="s">
        <v>114</v>
      </c>
      <c r="H1078" s="12">
        <f t="shared" si="16"/>
        <v>-1132.99</v>
      </c>
    </row>
    <row r="1079" spans="1:8">
      <c r="A1079" s="14">
        <v>1074</v>
      </c>
      <c r="B1079" s="9">
        <v>45987</v>
      </c>
      <c r="C1079" s="10" t="s">
        <v>113</v>
      </c>
      <c r="D1079" s="10" t="s">
        <v>14</v>
      </c>
      <c r="E1079" s="11" t="s">
        <v>52</v>
      </c>
      <c r="F1079" s="5">
        <v>815.97</v>
      </c>
      <c r="G1079" s="13" t="s">
        <v>114</v>
      </c>
      <c r="H1079" s="12">
        <f t="shared" si="16"/>
        <v>-815.97</v>
      </c>
    </row>
    <row r="1080" spans="1:8">
      <c r="A1080" s="14">
        <v>1075</v>
      </c>
      <c r="B1080" s="9">
        <v>45987</v>
      </c>
      <c r="C1080" s="10" t="s">
        <v>113</v>
      </c>
      <c r="D1080" s="10" t="s">
        <v>14</v>
      </c>
      <c r="E1080" s="11" t="s">
        <v>69</v>
      </c>
      <c r="F1080" s="5">
        <v>2889.56</v>
      </c>
      <c r="G1080" s="13" t="s">
        <v>114</v>
      </c>
      <c r="H1080" s="12">
        <f t="shared" si="16"/>
        <v>-2889.56</v>
      </c>
    </row>
    <row r="1081" spans="1:8">
      <c r="A1081" s="14">
        <v>1076</v>
      </c>
      <c r="B1081" s="9">
        <v>45987</v>
      </c>
      <c r="C1081" s="10" t="s">
        <v>113</v>
      </c>
      <c r="D1081" s="10" t="s">
        <v>10</v>
      </c>
      <c r="E1081" s="11" t="s">
        <v>65</v>
      </c>
      <c r="F1081" s="5">
        <v>4416.05</v>
      </c>
      <c r="G1081" s="13" t="s">
        <v>114</v>
      </c>
      <c r="H1081" s="12">
        <f t="shared" si="16"/>
        <v>-4416.05</v>
      </c>
    </row>
    <row r="1082" spans="1:8">
      <c r="A1082" s="14">
        <v>1077</v>
      </c>
      <c r="B1082" s="9">
        <v>45988</v>
      </c>
      <c r="C1082" s="10" t="s">
        <v>113</v>
      </c>
      <c r="D1082" s="10" t="s">
        <v>10</v>
      </c>
      <c r="E1082" s="11" t="s">
        <v>70</v>
      </c>
      <c r="F1082" s="5">
        <v>1908.85</v>
      </c>
      <c r="G1082" s="13" t="s">
        <v>114</v>
      </c>
      <c r="H1082" s="12">
        <f t="shared" si="16"/>
        <v>-1908.85</v>
      </c>
    </row>
    <row r="1083" spans="1:8">
      <c r="A1083" s="14">
        <v>1078</v>
      </c>
      <c r="B1083" s="9">
        <v>45988</v>
      </c>
      <c r="C1083" s="10" t="s">
        <v>113</v>
      </c>
      <c r="D1083" s="10" t="s">
        <v>16</v>
      </c>
      <c r="E1083" s="11" t="s">
        <v>22</v>
      </c>
      <c r="F1083" s="5">
        <v>1692.45</v>
      </c>
      <c r="G1083" s="13" t="s">
        <v>114</v>
      </c>
      <c r="H1083" s="12">
        <f t="shared" si="16"/>
        <v>-1692.45</v>
      </c>
    </row>
    <row r="1084" spans="1:8">
      <c r="A1084" s="14">
        <v>1079</v>
      </c>
      <c r="B1084" s="9">
        <v>45988</v>
      </c>
      <c r="C1084" s="10" t="s">
        <v>113</v>
      </c>
      <c r="D1084" s="10" t="s">
        <v>14</v>
      </c>
      <c r="E1084" s="11" t="s">
        <v>52</v>
      </c>
      <c r="F1084" s="5">
        <v>525.51</v>
      </c>
      <c r="G1084" s="13" t="s">
        <v>114</v>
      </c>
      <c r="H1084" s="12">
        <f t="shared" si="16"/>
        <v>-525.51</v>
      </c>
    </row>
    <row r="1085" spans="1:8">
      <c r="A1085" s="14">
        <v>1080</v>
      </c>
      <c r="B1085" s="9">
        <v>45988</v>
      </c>
      <c r="C1085" s="10" t="s">
        <v>113</v>
      </c>
      <c r="D1085" s="10" t="s">
        <v>10</v>
      </c>
      <c r="E1085" s="11" t="s">
        <v>19</v>
      </c>
      <c r="F1085" s="5">
        <v>23037.61</v>
      </c>
      <c r="G1085" s="13" t="s">
        <v>114</v>
      </c>
      <c r="H1085" s="12">
        <f t="shared" si="16"/>
        <v>-23037.61</v>
      </c>
    </row>
    <row r="1086" spans="1:8">
      <c r="A1086" s="14">
        <v>1081</v>
      </c>
      <c r="B1086" s="9">
        <v>45989</v>
      </c>
      <c r="C1086" s="10" t="s">
        <v>113</v>
      </c>
      <c r="D1086" s="10" t="s">
        <v>9</v>
      </c>
      <c r="E1086" s="11" t="s">
        <v>32</v>
      </c>
      <c r="F1086" s="5">
        <v>950.57</v>
      </c>
      <c r="G1086" s="13" t="s">
        <v>114</v>
      </c>
      <c r="H1086" s="12">
        <f t="shared" si="16"/>
        <v>-950.57</v>
      </c>
    </row>
    <row r="1087" spans="1:8">
      <c r="A1087" s="14">
        <v>1082</v>
      </c>
      <c r="B1087" s="9">
        <v>45989</v>
      </c>
      <c r="C1087" s="10" t="s">
        <v>113</v>
      </c>
      <c r="D1087" s="10" t="s">
        <v>10</v>
      </c>
      <c r="E1087" s="11" t="s">
        <v>30</v>
      </c>
      <c r="F1087" s="5">
        <v>3522.34</v>
      </c>
      <c r="G1087" s="13" t="s">
        <v>114</v>
      </c>
      <c r="H1087" s="12">
        <f t="shared" si="16"/>
        <v>-3522.34</v>
      </c>
    </row>
    <row r="1088" spans="1:8">
      <c r="A1088" s="14">
        <v>1083</v>
      </c>
      <c r="B1088" s="9">
        <v>45989</v>
      </c>
      <c r="C1088" s="10" t="s">
        <v>113</v>
      </c>
      <c r="D1088" s="10" t="s">
        <v>15</v>
      </c>
      <c r="E1088" s="11" t="s">
        <v>26</v>
      </c>
      <c r="F1088" s="5">
        <v>4280.21</v>
      </c>
      <c r="G1088" s="13" t="s">
        <v>114</v>
      </c>
      <c r="H1088" s="12">
        <f t="shared" si="16"/>
        <v>-4280.21</v>
      </c>
    </row>
    <row r="1089" spans="1:8">
      <c r="A1089" s="14">
        <v>1084</v>
      </c>
      <c r="B1089" s="9">
        <v>45989</v>
      </c>
      <c r="C1089" s="10" t="s">
        <v>113</v>
      </c>
      <c r="D1089" s="10" t="s">
        <v>16</v>
      </c>
      <c r="E1089" s="11" t="s">
        <v>57</v>
      </c>
      <c r="F1089" s="5">
        <v>2473.06</v>
      </c>
      <c r="G1089" s="13" t="s">
        <v>114</v>
      </c>
      <c r="H1089" s="12">
        <f t="shared" si="16"/>
        <v>-2473.06</v>
      </c>
    </row>
    <row r="1090" spans="1:8">
      <c r="A1090" s="14">
        <v>1085</v>
      </c>
      <c r="B1090" s="9">
        <v>45990</v>
      </c>
      <c r="C1090" s="10" t="s">
        <v>113</v>
      </c>
      <c r="D1090" s="10" t="s">
        <v>9</v>
      </c>
      <c r="E1090" s="11" t="s">
        <v>38</v>
      </c>
      <c r="F1090" s="5">
        <v>6135.07</v>
      </c>
      <c r="G1090" s="13" t="s">
        <v>114</v>
      </c>
      <c r="H1090" s="12">
        <f t="shared" si="16"/>
        <v>-6135.07</v>
      </c>
    </row>
    <row r="1091" spans="1:8">
      <c r="A1091" s="14">
        <v>1086</v>
      </c>
      <c r="B1091" s="9">
        <v>45990</v>
      </c>
      <c r="C1091" s="10" t="s">
        <v>113</v>
      </c>
      <c r="D1091" s="10" t="s">
        <v>16</v>
      </c>
      <c r="E1091" s="11" t="s">
        <v>22</v>
      </c>
      <c r="F1091" s="5">
        <v>2667.71</v>
      </c>
      <c r="G1091" s="13" t="s">
        <v>114</v>
      </c>
      <c r="H1091" s="12">
        <f t="shared" si="16"/>
        <v>-2667.71</v>
      </c>
    </row>
    <row r="1092" spans="1:8">
      <c r="A1092" s="14">
        <v>1087</v>
      </c>
      <c r="B1092" s="9">
        <v>45990</v>
      </c>
      <c r="C1092" s="10" t="s">
        <v>113</v>
      </c>
      <c r="D1092" s="10" t="s">
        <v>10</v>
      </c>
      <c r="E1092" s="11" t="s">
        <v>24</v>
      </c>
      <c r="F1092" s="5">
        <v>4539.6099999999997</v>
      </c>
      <c r="G1092" s="13" t="s">
        <v>114</v>
      </c>
      <c r="H1092" s="12">
        <f t="shared" si="16"/>
        <v>-4539.6099999999997</v>
      </c>
    </row>
    <row r="1093" spans="1:8">
      <c r="A1093" s="14">
        <v>1088</v>
      </c>
      <c r="B1093" s="9">
        <v>45991</v>
      </c>
      <c r="C1093" s="10" t="s">
        <v>113</v>
      </c>
      <c r="D1093" s="10" t="s">
        <v>9</v>
      </c>
      <c r="E1093" s="11" t="s">
        <v>32</v>
      </c>
      <c r="F1093" s="5">
        <v>1445.99</v>
      </c>
      <c r="G1093" s="13" t="s">
        <v>114</v>
      </c>
      <c r="H1093" s="12">
        <f t="shared" ref="H1093:H1156" si="17">IF(C1093="Despesa", F1093*-1, F1093)</f>
        <v>-1445.99</v>
      </c>
    </row>
    <row r="1094" spans="1:8">
      <c r="A1094" s="14">
        <v>1089</v>
      </c>
      <c r="B1094" s="9">
        <v>45991</v>
      </c>
      <c r="C1094" s="10" t="s">
        <v>113</v>
      </c>
      <c r="D1094" s="10" t="s">
        <v>14</v>
      </c>
      <c r="E1094" s="11" t="s">
        <v>29</v>
      </c>
      <c r="F1094" s="5">
        <v>2146.5100000000002</v>
      </c>
      <c r="G1094" s="13" t="s">
        <v>114</v>
      </c>
      <c r="H1094" s="12">
        <f t="shared" si="17"/>
        <v>-2146.5100000000002</v>
      </c>
    </row>
    <row r="1095" spans="1:8">
      <c r="A1095" s="14">
        <v>1090</v>
      </c>
      <c r="B1095" s="9">
        <v>45992</v>
      </c>
      <c r="C1095" s="10" t="s">
        <v>113</v>
      </c>
      <c r="D1095" s="10" t="s">
        <v>14</v>
      </c>
      <c r="E1095" s="11" t="s">
        <v>23</v>
      </c>
      <c r="F1095" s="5">
        <v>7466.71</v>
      </c>
      <c r="G1095" s="13" t="s">
        <v>114</v>
      </c>
      <c r="H1095" s="12">
        <f t="shared" si="17"/>
        <v>-7466.71</v>
      </c>
    </row>
    <row r="1096" spans="1:8">
      <c r="A1096" s="14">
        <v>1091</v>
      </c>
      <c r="B1096" s="9">
        <v>45992</v>
      </c>
      <c r="C1096" s="10" t="s">
        <v>113</v>
      </c>
      <c r="D1096" s="10" t="s">
        <v>9</v>
      </c>
      <c r="E1096" s="11" t="s">
        <v>44</v>
      </c>
      <c r="F1096" s="5">
        <v>1688.66</v>
      </c>
      <c r="G1096" s="13" t="s">
        <v>114</v>
      </c>
      <c r="H1096" s="12">
        <f t="shared" si="17"/>
        <v>-1688.66</v>
      </c>
    </row>
    <row r="1097" spans="1:8">
      <c r="A1097" s="14">
        <v>1092</v>
      </c>
      <c r="B1097" s="9">
        <v>45992</v>
      </c>
      <c r="C1097" s="10" t="s">
        <v>113</v>
      </c>
      <c r="D1097" s="10" t="s">
        <v>9</v>
      </c>
      <c r="E1097" s="11" t="s">
        <v>21</v>
      </c>
      <c r="F1097" s="5">
        <v>1330.1</v>
      </c>
      <c r="G1097" s="13" t="s">
        <v>114</v>
      </c>
      <c r="H1097" s="12">
        <f t="shared" si="17"/>
        <v>-1330.1</v>
      </c>
    </row>
    <row r="1098" spans="1:8">
      <c r="A1098" s="14">
        <v>1093</v>
      </c>
      <c r="B1098" s="9">
        <v>45992</v>
      </c>
      <c r="C1098" s="10" t="s">
        <v>113</v>
      </c>
      <c r="D1098" s="10" t="s">
        <v>14</v>
      </c>
      <c r="E1098" s="11" t="s">
        <v>74</v>
      </c>
      <c r="F1098" s="5">
        <v>360.26</v>
      </c>
      <c r="G1098" s="13" t="s">
        <v>114</v>
      </c>
      <c r="H1098" s="12">
        <f t="shared" si="17"/>
        <v>-360.26</v>
      </c>
    </row>
    <row r="1099" spans="1:8">
      <c r="A1099" s="14">
        <v>1094</v>
      </c>
      <c r="B1099" s="9">
        <v>45993</v>
      </c>
      <c r="C1099" s="10" t="s">
        <v>113</v>
      </c>
      <c r="D1099" s="10" t="s">
        <v>16</v>
      </c>
      <c r="E1099" s="11" t="s">
        <v>33</v>
      </c>
      <c r="F1099" s="5">
        <v>1827.7</v>
      </c>
      <c r="G1099" s="13" t="s">
        <v>114</v>
      </c>
      <c r="H1099" s="12">
        <f t="shared" si="17"/>
        <v>-1827.7</v>
      </c>
    </row>
    <row r="1100" spans="1:8">
      <c r="A1100" s="14">
        <v>1095</v>
      </c>
      <c r="B1100" s="9">
        <v>45993</v>
      </c>
      <c r="C1100" s="10" t="s">
        <v>113</v>
      </c>
      <c r="D1100" s="10" t="s">
        <v>15</v>
      </c>
      <c r="E1100" s="11" t="s">
        <v>43</v>
      </c>
      <c r="F1100" s="5">
        <v>1142.18</v>
      </c>
      <c r="G1100" s="13" t="s">
        <v>114</v>
      </c>
      <c r="H1100" s="12">
        <f t="shared" si="17"/>
        <v>-1142.18</v>
      </c>
    </row>
    <row r="1101" spans="1:8">
      <c r="A1101" s="14">
        <v>1096</v>
      </c>
      <c r="B1101" s="9">
        <v>45993</v>
      </c>
      <c r="C1101" s="10" t="s">
        <v>113</v>
      </c>
      <c r="D1101" s="10" t="s">
        <v>10</v>
      </c>
      <c r="E1101" s="11" t="s">
        <v>70</v>
      </c>
      <c r="F1101" s="5">
        <v>3590.07</v>
      </c>
      <c r="G1101" s="13" t="s">
        <v>114</v>
      </c>
      <c r="H1101" s="12">
        <f t="shared" si="17"/>
        <v>-3590.07</v>
      </c>
    </row>
    <row r="1102" spans="1:8">
      <c r="A1102" s="14">
        <v>1097</v>
      </c>
      <c r="B1102" s="9">
        <v>45994</v>
      </c>
      <c r="C1102" s="10" t="s">
        <v>113</v>
      </c>
      <c r="D1102" s="10" t="s">
        <v>14</v>
      </c>
      <c r="E1102" s="11" t="s">
        <v>74</v>
      </c>
      <c r="F1102" s="5">
        <v>963.1</v>
      </c>
      <c r="G1102" s="13" t="s">
        <v>114</v>
      </c>
      <c r="H1102" s="12">
        <f t="shared" si="17"/>
        <v>-963.1</v>
      </c>
    </row>
    <row r="1103" spans="1:8">
      <c r="A1103" s="14">
        <v>1098</v>
      </c>
      <c r="B1103" s="9">
        <v>45994</v>
      </c>
      <c r="C1103" s="10" t="s">
        <v>113</v>
      </c>
      <c r="D1103" s="10" t="s">
        <v>14</v>
      </c>
      <c r="E1103" s="11" t="s">
        <v>29</v>
      </c>
      <c r="F1103" s="5">
        <v>2268.9299999999998</v>
      </c>
      <c r="G1103" s="13" t="s">
        <v>114</v>
      </c>
      <c r="H1103" s="12">
        <f t="shared" si="17"/>
        <v>-2268.9299999999998</v>
      </c>
    </row>
    <row r="1104" spans="1:8">
      <c r="A1104" s="14">
        <v>1099</v>
      </c>
      <c r="B1104" s="9">
        <v>45994</v>
      </c>
      <c r="C1104" s="10" t="s">
        <v>113</v>
      </c>
      <c r="D1104" s="10" t="s">
        <v>14</v>
      </c>
      <c r="E1104" s="11" t="s">
        <v>52</v>
      </c>
      <c r="F1104" s="5">
        <v>525.62</v>
      </c>
      <c r="G1104" s="13" t="s">
        <v>114</v>
      </c>
      <c r="H1104" s="12">
        <f t="shared" si="17"/>
        <v>-525.62</v>
      </c>
    </row>
    <row r="1105" spans="1:8">
      <c r="A1105" s="14">
        <v>1100</v>
      </c>
      <c r="B1105" s="9">
        <v>45994</v>
      </c>
      <c r="C1105" s="10" t="s">
        <v>113</v>
      </c>
      <c r="D1105" s="10" t="s">
        <v>16</v>
      </c>
      <c r="E1105" s="11" t="s">
        <v>73</v>
      </c>
      <c r="F1105" s="5">
        <v>1385.83</v>
      </c>
      <c r="G1105" s="13" t="s">
        <v>114</v>
      </c>
      <c r="H1105" s="12">
        <f t="shared" si="17"/>
        <v>-1385.83</v>
      </c>
    </row>
    <row r="1106" spans="1:8">
      <c r="A1106" s="14">
        <v>1101</v>
      </c>
      <c r="B1106" s="9">
        <v>45995</v>
      </c>
      <c r="C1106" s="10" t="s">
        <v>113</v>
      </c>
      <c r="D1106" s="10" t="s">
        <v>14</v>
      </c>
      <c r="E1106" s="11" t="s">
        <v>34</v>
      </c>
      <c r="F1106" s="5">
        <v>7396.89</v>
      </c>
      <c r="G1106" s="13" t="s">
        <v>114</v>
      </c>
      <c r="H1106" s="12">
        <f t="shared" si="17"/>
        <v>-7396.89</v>
      </c>
    </row>
    <row r="1107" spans="1:8">
      <c r="A1107" s="14">
        <v>1102</v>
      </c>
      <c r="B1107" s="9">
        <v>45995</v>
      </c>
      <c r="C1107" s="10" t="s">
        <v>113</v>
      </c>
      <c r="D1107" s="10" t="s">
        <v>15</v>
      </c>
      <c r="E1107" s="11" t="s">
        <v>26</v>
      </c>
      <c r="F1107" s="5">
        <v>4008.9</v>
      </c>
      <c r="G1107" s="13" t="s">
        <v>114</v>
      </c>
      <c r="H1107" s="12">
        <f t="shared" si="17"/>
        <v>-4008.9</v>
      </c>
    </row>
    <row r="1108" spans="1:8">
      <c r="A1108" s="14">
        <v>1103</v>
      </c>
      <c r="B1108" s="9">
        <v>45995</v>
      </c>
      <c r="C1108" s="10" t="s">
        <v>113</v>
      </c>
      <c r="D1108" s="10" t="s">
        <v>15</v>
      </c>
      <c r="E1108" s="11" t="s">
        <v>61</v>
      </c>
      <c r="F1108" s="5">
        <v>1918.9</v>
      </c>
      <c r="G1108" s="13" t="s">
        <v>114</v>
      </c>
      <c r="H1108" s="12">
        <f t="shared" si="17"/>
        <v>-1918.9</v>
      </c>
    </row>
    <row r="1109" spans="1:8">
      <c r="A1109" s="14">
        <v>1104</v>
      </c>
      <c r="B1109" s="9">
        <v>45995</v>
      </c>
      <c r="C1109" s="10" t="s">
        <v>113</v>
      </c>
      <c r="D1109" s="10" t="s">
        <v>15</v>
      </c>
      <c r="E1109" s="11" t="s">
        <v>26</v>
      </c>
      <c r="F1109" s="5">
        <v>5412.84</v>
      </c>
      <c r="G1109" s="13" t="s">
        <v>114</v>
      </c>
      <c r="H1109" s="12">
        <f t="shared" si="17"/>
        <v>-5412.84</v>
      </c>
    </row>
    <row r="1110" spans="1:8">
      <c r="A1110" s="14">
        <v>1105</v>
      </c>
      <c r="B1110" s="9">
        <v>45995</v>
      </c>
      <c r="C1110" s="10" t="s">
        <v>113</v>
      </c>
      <c r="D1110" s="10" t="s">
        <v>14</v>
      </c>
      <c r="E1110" s="11" t="s">
        <v>23</v>
      </c>
      <c r="F1110" s="5">
        <v>2632.59</v>
      </c>
      <c r="G1110" s="13" t="s">
        <v>114</v>
      </c>
      <c r="H1110" s="12">
        <f t="shared" si="17"/>
        <v>-2632.59</v>
      </c>
    </row>
    <row r="1111" spans="1:8">
      <c r="A1111" s="14">
        <v>1106</v>
      </c>
      <c r="B1111" s="9">
        <v>45995</v>
      </c>
      <c r="C1111" s="10" t="s">
        <v>113</v>
      </c>
      <c r="D1111" s="10" t="s">
        <v>16</v>
      </c>
      <c r="E1111" s="11" t="s">
        <v>22</v>
      </c>
      <c r="F1111" s="5">
        <v>3381.91</v>
      </c>
      <c r="G1111" s="13" t="s">
        <v>114</v>
      </c>
      <c r="H1111" s="12">
        <f t="shared" si="17"/>
        <v>-3381.91</v>
      </c>
    </row>
    <row r="1112" spans="1:8">
      <c r="A1112" s="14">
        <v>1107</v>
      </c>
      <c r="B1112" s="9">
        <v>45996</v>
      </c>
      <c r="C1112" s="10" t="s">
        <v>113</v>
      </c>
      <c r="D1112" s="10" t="s">
        <v>9</v>
      </c>
      <c r="E1112" s="11" t="s">
        <v>21</v>
      </c>
      <c r="F1112" s="5">
        <v>1716.5</v>
      </c>
      <c r="G1112" s="13" t="s">
        <v>114</v>
      </c>
      <c r="H1112" s="12">
        <f t="shared" si="17"/>
        <v>-1716.5</v>
      </c>
    </row>
    <row r="1113" spans="1:8">
      <c r="A1113" s="14">
        <v>1108</v>
      </c>
      <c r="B1113" s="9">
        <v>45996</v>
      </c>
      <c r="C1113" s="10" t="s">
        <v>113</v>
      </c>
      <c r="D1113" s="10" t="s">
        <v>14</v>
      </c>
      <c r="E1113" s="11" t="s">
        <v>29</v>
      </c>
      <c r="F1113" s="5">
        <v>1982.92</v>
      </c>
      <c r="G1113" s="13" t="s">
        <v>114</v>
      </c>
      <c r="H1113" s="12">
        <f t="shared" si="17"/>
        <v>-1982.92</v>
      </c>
    </row>
    <row r="1114" spans="1:8">
      <c r="A1114" s="14">
        <v>1109</v>
      </c>
      <c r="B1114" s="9">
        <v>45996</v>
      </c>
      <c r="C1114" s="10" t="s">
        <v>113</v>
      </c>
      <c r="D1114" s="10" t="s">
        <v>16</v>
      </c>
      <c r="E1114" s="11" t="s">
        <v>22</v>
      </c>
      <c r="F1114" s="5">
        <v>2671.12</v>
      </c>
      <c r="G1114" s="13" t="s">
        <v>114</v>
      </c>
      <c r="H1114" s="12">
        <f t="shared" si="17"/>
        <v>-2671.12</v>
      </c>
    </row>
    <row r="1115" spans="1:8">
      <c r="A1115" s="14">
        <v>1110</v>
      </c>
      <c r="B1115" s="9">
        <v>45997</v>
      </c>
      <c r="C1115" s="10" t="s">
        <v>113</v>
      </c>
      <c r="D1115" s="10" t="s">
        <v>15</v>
      </c>
      <c r="E1115" s="11" t="s">
        <v>61</v>
      </c>
      <c r="F1115" s="5">
        <v>644.19000000000005</v>
      </c>
      <c r="G1115" s="13" t="s">
        <v>114</v>
      </c>
      <c r="H1115" s="12">
        <f t="shared" si="17"/>
        <v>-644.19000000000005</v>
      </c>
    </row>
    <row r="1116" spans="1:8">
      <c r="A1116" s="14">
        <v>1111</v>
      </c>
      <c r="B1116" s="9">
        <v>45997</v>
      </c>
      <c r="C1116" s="10" t="s">
        <v>113</v>
      </c>
      <c r="D1116" s="10" t="s">
        <v>16</v>
      </c>
      <c r="E1116" s="11" t="s">
        <v>33</v>
      </c>
      <c r="F1116" s="5">
        <v>1236.8</v>
      </c>
      <c r="G1116" s="13" t="s">
        <v>114</v>
      </c>
      <c r="H1116" s="12">
        <f t="shared" si="17"/>
        <v>-1236.8</v>
      </c>
    </row>
    <row r="1117" spans="1:8">
      <c r="A1117" s="14">
        <v>1112</v>
      </c>
      <c r="B1117" s="9">
        <v>45998</v>
      </c>
      <c r="C1117" s="10" t="s">
        <v>113</v>
      </c>
      <c r="D1117" s="10" t="s">
        <v>17</v>
      </c>
      <c r="E1117" s="11" t="s">
        <v>36</v>
      </c>
      <c r="F1117" s="5">
        <v>945.55</v>
      </c>
      <c r="G1117" s="13" t="s">
        <v>114</v>
      </c>
      <c r="H1117" s="12">
        <f t="shared" si="17"/>
        <v>-945.55</v>
      </c>
    </row>
    <row r="1118" spans="1:8">
      <c r="A1118" s="14">
        <v>1113</v>
      </c>
      <c r="B1118" s="9">
        <v>45998</v>
      </c>
      <c r="C1118" s="10" t="s">
        <v>113</v>
      </c>
      <c r="D1118" s="10" t="s">
        <v>16</v>
      </c>
      <c r="E1118" s="11" t="s">
        <v>45</v>
      </c>
      <c r="F1118" s="5">
        <v>4415.12</v>
      </c>
      <c r="G1118" s="13" t="s">
        <v>114</v>
      </c>
      <c r="H1118" s="12">
        <f t="shared" si="17"/>
        <v>-4415.12</v>
      </c>
    </row>
    <row r="1119" spans="1:8">
      <c r="A1119" s="14">
        <v>1114</v>
      </c>
      <c r="B1119" s="9">
        <v>45999</v>
      </c>
      <c r="C1119" s="10" t="s">
        <v>113</v>
      </c>
      <c r="D1119" s="10" t="s">
        <v>10</v>
      </c>
      <c r="E1119" s="11" t="s">
        <v>19</v>
      </c>
      <c r="F1119" s="5">
        <v>9891</v>
      </c>
      <c r="G1119" s="13" t="s">
        <v>114</v>
      </c>
      <c r="H1119" s="12">
        <f t="shared" si="17"/>
        <v>-9891</v>
      </c>
    </row>
    <row r="1120" spans="1:8">
      <c r="A1120" s="14">
        <v>1115</v>
      </c>
      <c r="B1120" s="9">
        <v>45999</v>
      </c>
      <c r="C1120" s="10" t="s">
        <v>113</v>
      </c>
      <c r="D1120" s="10" t="s">
        <v>14</v>
      </c>
      <c r="E1120" s="11" t="s">
        <v>40</v>
      </c>
      <c r="F1120" s="5">
        <v>5114.3</v>
      </c>
      <c r="G1120" s="13" t="s">
        <v>114</v>
      </c>
      <c r="H1120" s="12">
        <f t="shared" si="17"/>
        <v>-5114.3</v>
      </c>
    </row>
    <row r="1121" spans="1:8">
      <c r="A1121" s="14">
        <v>1116</v>
      </c>
      <c r="B1121" s="9">
        <v>45999</v>
      </c>
      <c r="C1121" s="10" t="s">
        <v>113</v>
      </c>
      <c r="D1121" s="10" t="s">
        <v>14</v>
      </c>
      <c r="E1121" s="11" t="s">
        <v>29</v>
      </c>
      <c r="F1121" s="5">
        <v>1732.02</v>
      </c>
      <c r="G1121" s="13" t="s">
        <v>114</v>
      </c>
      <c r="H1121" s="12">
        <f t="shared" si="17"/>
        <v>-1732.02</v>
      </c>
    </row>
    <row r="1122" spans="1:8">
      <c r="A1122" s="14">
        <v>1117</v>
      </c>
      <c r="B1122" s="9">
        <v>45999</v>
      </c>
      <c r="C1122" s="10" t="s">
        <v>113</v>
      </c>
      <c r="D1122" s="10" t="s">
        <v>9</v>
      </c>
      <c r="E1122" s="11" t="s">
        <v>21</v>
      </c>
      <c r="F1122" s="5">
        <v>2468.81</v>
      </c>
      <c r="G1122" s="13" t="s">
        <v>114</v>
      </c>
      <c r="H1122" s="12">
        <f t="shared" si="17"/>
        <v>-2468.81</v>
      </c>
    </row>
    <row r="1123" spans="1:8">
      <c r="A1123" s="14">
        <v>1118</v>
      </c>
      <c r="B1123" s="9">
        <v>45999</v>
      </c>
      <c r="C1123" s="10" t="s">
        <v>113</v>
      </c>
      <c r="D1123" s="10" t="s">
        <v>9</v>
      </c>
      <c r="E1123" s="11" t="s">
        <v>62</v>
      </c>
      <c r="F1123" s="5">
        <v>2013.35</v>
      </c>
      <c r="G1123" s="13" t="s">
        <v>114</v>
      </c>
      <c r="H1123" s="12">
        <f t="shared" si="17"/>
        <v>-2013.35</v>
      </c>
    </row>
    <row r="1124" spans="1:8">
      <c r="A1124" s="14">
        <v>1119</v>
      </c>
      <c r="B1124" s="9">
        <v>46000</v>
      </c>
      <c r="C1124" s="10" t="s">
        <v>113</v>
      </c>
      <c r="D1124" s="10" t="s">
        <v>15</v>
      </c>
      <c r="E1124" s="11" t="s">
        <v>66</v>
      </c>
      <c r="F1124" s="5">
        <v>18691.38</v>
      </c>
      <c r="G1124" s="13" t="s">
        <v>114</v>
      </c>
      <c r="H1124" s="12">
        <f t="shared" si="17"/>
        <v>-18691.38</v>
      </c>
    </row>
    <row r="1125" spans="1:8">
      <c r="A1125" s="14">
        <v>1120</v>
      </c>
      <c r="B1125" s="9">
        <v>46000</v>
      </c>
      <c r="C1125" s="10" t="s">
        <v>113</v>
      </c>
      <c r="D1125" s="10" t="s">
        <v>14</v>
      </c>
      <c r="E1125" s="11" t="s">
        <v>34</v>
      </c>
      <c r="F1125" s="5">
        <v>8977.15</v>
      </c>
      <c r="G1125" s="13" t="s">
        <v>114</v>
      </c>
      <c r="H1125" s="12">
        <f t="shared" si="17"/>
        <v>-8977.15</v>
      </c>
    </row>
    <row r="1126" spans="1:8">
      <c r="A1126" s="14">
        <v>1121</v>
      </c>
      <c r="B1126" s="9">
        <v>46000</v>
      </c>
      <c r="C1126" s="10" t="s">
        <v>113</v>
      </c>
      <c r="D1126" s="10" t="s">
        <v>15</v>
      </c>
      <c r="E1126" s="11" t="s">
        <v>37</v>
      </c>
      <c r="F1126" s="5">
        <v>942.21</v>
      </c>
      <c r="G1126" s="13" t="s">
        <v>114</v>
      </c>
      <c r="H1126" s="12">
        <f t="shared" si="17"/>
        <v>-942.21</v>
      </c>
    </row>
    <row r="1127" spans="1:8">
      <c r="A1127" s="14">
        <v>1122</v>
      </c>
      <c r="B1127" s="9">
        <v>46000</v>
      </c>
      <c r="C1127" s="10" t="s">
        <v>113</v>
      </c>
      <c r="D1127" s="10" t="s">
        <v>17</v>
      </c>
      <c r="E1127" s="11" t="s">
        <v>20</v>
      </c>
      <c r="F1127" s="5">
        <v>347.82</v>
      </c>
      <c r="G1127" s="13" t="s">
        <v>114</v>
      </c>
      <c r="H1127" s="12">
        <f t="shared" si="17"/>
        <v>-347.82</v>
      </c>
    </row>
    <row r="1128" spans="1:8">
      <c r="A1128" s="14">
        <v>1123</v>
      </c>
      <c r="B1128" s="9">
        <v>46001</v>
      </c>
      <c r="C1128" s="10" t="s">
        <v>113</v>
      </c>
      <c r="D1128" s="10" t="s">
        <v>14</v>
      </c>
      <c r="E1128" s="11" t="s">
        <v>69</v>
      </c>
      <c r="F1128" s="5">
        <v>1142.6400000000001</v>
      </c>
      <c r="G1128" s="13" t="s">
        <v>114</v>
      </c>
      <c r="H1128" s="12">
        <f t="shared" si="17"/>
        <v>-1142.6400000000001</v>
      </c>
    </row>
    <row r="1129" spans="1:8">
      <c r="A1129" s="14">
        <v>1124</v>
      </c>
      <c r="B1129" s="9">
        <v>46001</v>
      </c>
      <c r="C1129" s="10" t="s">
        <v>113</v>
      </c>
      <c r="D1129" s="10" t="s">
        <v>16</v>
      </c>
      <c r="E1129" s="11" t="s">
        <v>22</v>
      </c>
      <c r="F1129" s="5">
        <v>3099.96</v>
      </c>
      <c r="G1129" s="13" t="s">
        <v>114</v>
      </c>
      <c r="H1129" s="12">
        <f t="shared" si="17"/>
        <v>-3099.96</v>
      </c>
    </row>
    <row r="1130" spans="1:8">
      <c r="A1130" s="14">
        <v>1125</v>
      </c>
      <c r="B1130" s="9">
        <v>46002</v>
      </c>
      <c r="C1130" s="10" t="s">
        <v>113</v>
      </c>
      <c r="D1130" s="10" t="s">
        <v>14</v>
      </c>
      <c r="E1130" s="11" t="s">
        <v>29</v>
      </c>
      <c r="F1130" s="5">
        <v>1320.45</v>
      </c>
      <c r="G1130" s="13" t="s">
        <v>114</v>
      </c>
      <c r="H1130" s="12">
        <f t="shared" si="17"/>
        <v>-1320.45</v>
      </c>
    </row>
    <row r="1131" spans="1:8">
      <c r="A1131" s="14">
        <v>1126</v>
      </c>
      <c r="B1131" s="9">
        <v>46002</v>
      </c>
      <c r="C1131" s="10" t="s">
        <v>113</v>
      </c>
      <c r="D1131" s="10" t="s">
        <v>10</v>
      </c>
      <c r="E1131" s="11" t="s">
        <v>53</v>
      </c>
      <c r="F1131" s="5">
        <v>489.21</v>
      </c>
      <c r="G1131" s="13" t="s">
        <v>114</v>
      </c>
      <c r="H1131" s="12">
        <f t="shared" si="17"/>
        <v>-489.21</v>
      </c>
    </row>
    <row r="1132" spans="1:8">
      <c r="A1132" s="14">
        <v>1127</v>
      </c>
      <c r="B1132" s="9">
        <v>46002</v>
      </c>
      <c r="C1132" s="10" t="s">
        <v>113</v>
      </c>
      <c r="D1132" s="10" t="s">
        <v>17</v>
      </c>
      <c r="E1132" s="11" t="s">
        <v>25</v>
      </c>
      <c r="F1132" s="5">
        <v>1912.16</v>
      </c>
      <c r="G1132" s="13" t="s">
        <v>114</v>
      </c>
      <c r="H1132" s="12">
        <f t="shared" si="17"/>
        <v>-1912.16</v>
      </c>
    </row>
    <row r="1133" spans="1:8">
      <c r="A1133" s="14">
        <v>1128</v>
      </c>
      <c r="B1133" s="9">
        <v>46002</v>
      </c>
      <c r="C1133" s="10" t="s">
        <v>113</v>
      </c>
      <c r="D1133" s="10" t="s">
        <v>17</v>
      </c>
      <c r="E1133" s="11" t="s">
        <v>42</v>
      </c>
      <c r="F1133" s="5">
        <v>332.38</v>
      </c>
      <c r="G1133" s="13" t="s">
        <v>114</v>
      </c>
      <c r="H1133" s="12">
        <f t="shared" si="17"/>
        <v>-332.38</v>
      </c>
    </row>
    <row r="1134" spans="1:8">
      <c r="A1134" s="14">
        <v>1129</v>
      </c>
      <c r="B1134" s="9">
        <v>46002</v>
      </c>
      <c r="C1134" s="10" t="s">
        <v>113</v>
      </c>
      <c r="D1134" s="10" t="s">
        <v>17</v>
      </c>
      <c r="E1134" s="11" t="s">
        <v>54</v>
      </c>
      <c r="F1134" s="5">
        <v>2190.7399999999998</v>
      </c>
      <c r="G1134" s="13" t="s">
        <v>114</v>
      </c>
      <c r="H1134" s="12">
        <f t="shared" si="17"/>
        <v>-2190.7399999999998</v>
      </c>
    </row>
    <row r="1135" spans="1:8">
      <c r="A1135" s="14">
        <v>1130</v>
      </c>
      <c r="B1135" s="9">
        <v>46003</v>
      </c>
      <c r="C1135" s="10" t="s">
        <v>113</v>
      </c>
      <c r="D1135" s="10" t="s">
        <v>9</v>
      </c>
      <c r="E1135" s="11" t="s">
        <v>44</v>
      </c>
      <c r="F1135" s="5">
        <v>1889.57</v>
      </c>
      <c r="G1135" s="13" t="s">
        <v>114</v>
      </c>
      <c r="H1135" s="12">
        <f t="shared" si="17"/>
        <v>-1889.57</v>
      </c>
    </row>
    <row r="1136" spans="1:8">
      <c r="A1136" s="14">
        <v>1131</v>
      </c>
      <c r="B1136" s="9">
        <v>46003</v>
      </c>
      <c r="C1136" s="10" t="s">
        <v>113</v>
      </c>
      <c r="D1136" s="10" t="s">
        <v>15</v>
      </c>
      <c r="E1136" s="11" t="s">
        <v>43</v>
      </c>
      <c r="F1136" s="5">
        <v>1195.75</v>
      </c>
      <c r="G1136" s="13" t="s">
        <v>114</v>
      </c>
      <c r="H1136" s="12">
        <f t="shared" si="17"/>
        <v>-1195.75</v>
      </c>
    </row>
    <row r="1137" spans="1:8">
      <c r="A1137" s="14">
        <v>1132</v>
      </c>
      <c r="B1137" s="9">
        <v>46003</v>
      </c>
      <c r="C1137" s="10" t="s">
        <v>113</v>
      </c>
      <c r="D1137" s="10" t="s">
        <v>14</v>
      </c>
      <c r="E1137" s="11" t="s">
        <v>23</v>
      </c>
      <c r="F1137" s="5">
        <v>5594.12</v>
      </c>
      <c r="G1137" s="13" t="s">
        <v>114</v>
      </c>
      <c r="H1137" s="12">
        <f t="shared" si="17"/>
        <v>-5594.12</v>
      </c>
    </row>
    <row r="1138" spans="1:8">
      <c r="A1138" s="14">
        <v>1133</v>
      </c>
      <c r="B1138" s="9">
        <v>46003</v>
      </c>
      <c r="C1138" s="10" t="s">
        <v>113</v>
      </c>
      <c r="D1138" s="10" t="s">
        <v>10</v>
      </c>
      <c r="E1138" s="11" t="s">
        <v>53</v>
      </c>
      <c r="F1138" s="5">
        <v>2540.5100000000002</v>
      </c>
      <c r="G1138" s="13" t="s">
        <v>114</v>
      </c>
      <c r="H1138" s="12">
        <f t="shared" si="17"/>
        <v>-2540.5100000000002</v>
      </c>
    </row>
    <row r="1139" spans="1:8">
      <c r="A1139" s="14">
        <v>1134</v>
      </c>
      <c r="B1139" s="9">
        <v>46003</v>
      </c>
      <c r="C1139" s="10" t="s">
        <v>113</v>
      </c>
      <c r="D1139" s="10" t="s">
        <v>14</v>
      </c>
      <c r="E1139" s="11" t="s">
        <v>52</v>
      </c>
      <c r="F1139" s="5">
        <v>746.66</v>
      </c>
      <c r="G1139" s="13" t="s">
        <v>114</v>
      </c>
      <c r="H1139" s="12">
        <f t="shared" si="17"/>
        <v>-746.66</v>
      </c>
    </row>
    <row r="1140" spans="1:8">
      <c r="A1140" s="14">
        <v>1135</v>
      </c>
      <c r="B1140" s="9">
        <v>46003</v>
      </c>
      <c r="C1140" s="10" t="s">
        <v>113</v>
      </c>
      <c r="D1140" s="10" t="s">
        <v>9</v>
      </c>
      <c r="E1140" s="11" t="s">
        <v>27</v>
      </c>
      <c r="F1140" s="5">
        <v>1377.84</v>
      </c>
      <c r="G1140" s="13" t="s">
        <v>114</v>
      </c>
      <c r="H1140" s="12">
        <f t="shared" si="17"/>
        <v>-1377.84</v>
      </c>
    </row>
    <row r="1141" spans="1:8">
      <c r="A1141" s="14">
        <v>1136</v>
      </c>
      <c r="B1141" s="9">
        <v>46003</v>
      </c>
      <c r="C1141" s="10" t="s">
        <v>113</v>
      </c>
      <c r="D1141" s="10" t="s">
        <v>10</v>
      </c>
      <c r="E1141" s="11" t="s">
        <v>41</v>
      </c>
      <c r="F1141" s="5">
        <v>11138.84</v>
      </c>
      <c r="G1141" s="13" t="s">
        <v>114</v>
      </c>
      <c r="H1141" s="12">
        <f t="shared" si="17"/>
        <v>-11138.84</v>
      </c>
    </row>
    <row r="1142" spans="1:8">
      <c r="A1142" s="14">
        <v>1137</v>
      </c>
      <c r="B1142" s="9">
        <v>46005</v>
      </c>
      <c r="C1142" s="10" t="s">
        <v>113</v>
      </c>
      <c r="D1142" s="10" t="s">
        <v>17</v>
      </c>
      <c r="E1142" s="11" t="s">
        <v>48</v>
      </c>
      <c r="F1142" s="5">
        <v>1553.77</v>
      </c>
      <c r="G1142" s="13" t="s">
        <v>114</v>
      </c>
      <c r="H1142" s="12">
        <f t="shared" si="17"/>
        <v>-1553.77</v>
      </c>
    </row>
    <row r="1143" spans="1:8">
      <c r="A1143" s="14">
        <v>1138</v>
      </c>
      <c r="B1143" s="9">
        <v>46006</v>
      </c>
      <c r="C1143" s="10" t="s">
        <v>113</v>
      </c>
      <c r="D1143" s="10" t="s">
        <v>10</v>
      </c>
      <c r="E1143" s="11" t="s">
        <v>53</v>
      </c>
      <c r="F1143" s="5">
        <v>4282.07</v>
      </c>
      <c r="G1143" s="13" t="s">
        <v>114</v>
      </c>
      <c r="H1143" s="12">
        <f t="shared" si="17"/>
        <v>-4282.07</v>
      </c>
    </row>
    <row r="1144" spans="1:8">
      <c r="A1144" s="14">
        <v>1139</v>
      </c>
      <c r="B1144" s="9">
        <v>46006</v>
      </c>
      <c r="C1144" s="10" t="s">
        <v>113</v>
      </c>
      <c r="D1144" s="10" t="s">
        <v>17</v>
      </c>
      <c r="E1144" s="11" t="s">
        <v>48</v>
      </c>
      <c r="F1144" s="5">
        <v>2976.94</v>
      </c>
      <c r="G1144" s="13" t="s">
        <v>114</v>
      </c>
      <c r="H1144" s="12">
        <f t="shared" si="17"/>
        <v>-2976.94</v>
      </c>
    </row>
    <row r="1145" spans="1:8">
      <c r="A1145" s="14">
        <v>1140</v>
      </c>
      <c r="B1145" s="9">
        <v>46006</v>
      </c>
      <c r="C1145" s="10" t="s">
        <v>113</v>
      </c>
      <c r="D1145" s="10" t="s">
        <v>9</v>
      </c>
      <c r="E1145" s="11" t="s">
        <v>50</v>
      </c>
      <c r="F1145" s="5">
        <v>2865.69</v>
      </c>
      <c r="G1145" s="13" t="s">
        <v>114</v>
      </c>
      <c r="H1145" s="12">
        <f t="shared" si="17"/>
        <v>-2865.69</v>
      </c>
    </row>
    <row r="1146" spans="1:8">
      <c r="A1146" s="14">
        <v>1141</v>
      </c>
      <c r="B1146" s="9">
        <v>46007</v>
      </c>
      <c r="C1146" s="10" t="s">
        <v>113</v>
      </c>
      <c r="D1146" s="10" t="s">
        <v>9</v>
      </c>
      <c r="E1146" s="11" t="s">
        <v>44</v>
      </c>
      <c r="F1146" s="5">
        <v>2027.44</v>
      </c>
      <c r="G1146" s="13" t="s">
        <v>114</v>
      </c>
      <c r="H1146" s="12">
        <f t="shared" si="17"/>
        <v>-2027.44</v>
      </c>
    </row>
    <row r="1147" spans="1:8">
      <c r="A1147" s="14">
        <v>1142</v>
      </c>
      <c r="B1147" s="9">
        <v>46007</v>
      </c>
      <c r="C1147" s="10" t="s">
        <v>113</v>
      </c>
      <c r="D1147" s="10" t="s">
        <v>15</v>
      </c>
      <c r="E1147" s="11" t="s">
        <v>26</v>
      </c>
      <c r="F1147" s="5">
        <v>3198.86</v>
      </c>
      <c r="G1147" s="13" t="s">
        <v>114</v>
      </c>
      <c r="H1147" s="12">
        <f t="shared" si="17"/>
        <v>-3198.86</v>
      </c>
    </row>
    <row r="1148" spans="1:8">
      <c r="A1148" s="14">
        <v>1143</v>
      </c>
      <c r="B1148" s="9">
        <v>46007</v>
      </c>
      <c r="C1148" s="10" t="s">
        <v>113</v>
      </c>
      <c r="D1148" s="10" t="s">
        <v>14</v>
      </c>
      <c r="E1148" s="11" t="s">
        <v>29</v>
      </c>
      <c r="F1148" s="5">
        <v>1143.25</v>
      </c>
      <c r="G1148" s="13" t="s">
        <v>114</v>
      </c>
      <c r="H1148" s="12">
        <f t="shared" si="17"/>
        <v>-1143.25</v>
      </c>
    </row>
    <row r="1149" spans="1:8">
      <c r="A1149" s="14">
        <v>1144</v>
      </c>
      <c r="B1149" s="9">
        <v>46008</v>
      </c>
      <c r="C1149" s="10" t="s">
        <v>113</v>
      </c>
      <c r="D1149" s="10" t="s">
        <v>14</v>
      </c>
      <c r="E1149" s="11" t="s">
        <v>23</v>
      </c>
      <c r="F1149" s="5">
        <v>5770.66</v>
      </c>
      <c r="G1149" s="13" t="s">
        <v>114</v>
      </c>
      <c r="H1149" s="12">
        <f t="shared" si="17"/>
        <v>-5770.66</v>
      </c>
    </row>
    <row r="1150" spans="1:8">
      <c r="A1150" s="14">
        <v>1145</v>
      </c>
      <c r="B1150" s="9">
        <v>46008</v>
      </c>
      <c r="C1150" s="10" t="s">
        <v>113</v>
      </c>
      <c r="D1150" s="10" t="s">
        <v>14</v>
      </c>
      <c r="E1150" s="11" t="s">
        <v>69</v>
      </c>
      <c r="F1150" s="5">
        <v>3052.01</v>
      </c>
      <c r="G1150" s="13" t="s">
        <v>114</v>
      </c>
      <c r="H1150" s="12">
        <f t="shared" si="17"/>
        <v>-3052.01</v>
      </c>
    </row>
    <row r="1151" spans="1:8">
      <c r="A1151" s="14">
        <v>1146</v>
      </c>
      <c r="B1151" s="9">
        <v>46008</v>
      </c>
      <c r="C1151" s="10" t="s">
        <v>113</v>
      </c>
      <c r="D1151" s="10" t="s">
        <v>9</v>
      </c>
      <c r="E1151" s="11" t="s">
        <v>32</v>
      </c>
      <c r="F1151" s="5">
        <v>675.75</v>
      </c>
      <c r="G1151" s="13" t="s">
        <v>114</v>
      </c>
      <c r="H1151" s="12">
        <f t="shared" si="17"/>
        <v>-675.75</v>
      </c>
    </row>
    <row r="1152" spans="1:8">
      <c r="A1152" s="14">
        <v>1147</v>
      </c>
      <c r="B1152" s="9">
        <v>46008</v>
      </c>
      <c r="C1152" s="10" t="s">
        <v>113</v>
      </c>
      <c r="D1152" s="10" t="s">
        <v>10</v>
      </c>
      <c r="E1152" s="11" t="s">
        <v>59</v>
      </c>
      <c r="F1152" s="5">
        <v>1633.71</v>
      </c>
      <c r="G1152" s="13" t="s">
        <v>114</v>
      </c>
      <c r="H1152" s="12">
        <f t="shared" si="17"/>
        <v>-1633.71</v>
      </c>
    </row>
    <row r="1153" spans="1:8">
      <c r="A1153" s="14">
        <v>1148</v>
      </c>
      <c r="B1153" s="9">
        <v>46008</v>
      </c>
      <c r="C1153" s="10" t="s">
        <v>113</v>
      </c>
      <c r="D1153" s="10" t="s">
        <v>14</v>
      </c>
      <c r="E1153" s="11" t="s">
        <v>46</v>
      </c>
      <c r="F1153" s="5">
        <v>1330.51</v>
      </c>
      <c r="G1153" s="13" t="s">
        <v>114</v>
      </c>
      <c r="H1153" s="12">
        <f t="shared" si="17"/>
        <v>-1330.51</v>
      </c>
    </row>
    <row r="1154" spans="1:8">
      <c r="A1154" s="14">
        <v>1149</v>
      </c>
      <c r="B1154" s="9">
        <v>46008</v>
      </c>
      <c r="C1154" s="10" t="s">
        <v>113</v>
      </c>
      <c r="D1154" s="10" t="s">
        <v>15</v>
      </c>
      <c r="E1154" s="11" t="s">
        <v>8</v>
      </c>
      <c r="F1154" s="5">
        <v>4234.2700000000004</v>
      </c>
      <c r="G1154" s="13" t="s">
        <v>114</v>
      </c>
      <c r="H1154" s="12">
        <f t="shared" si="17"/>
        <v>-4234.2700000000004</v>
      </c>
    </row>
    <row r="1155" spans="1:8">
      <c r="A1155" s="14">
        <v>1150</v>
      </c>
      <c r="B1155" s="9">
        <v>46009</v>
      </c>
      <c r="C1155" s="10" t="s">
        <v>113</v>
      </c>
      <c r="D1155" s="10" t="s">
        <v>16</v>
      </c>
      <c r="E1155" s="11" t="s">
        <v>57</v>
      </c>
      <c r="F1155" s="5">
        <v>1705.02</v>
      </c>
      <c r="G1155" s="13" t="s">
        <v>114</v>
      </c>
      <c r="H1155" s="12">
        <f t="shared" si="17"/>
        <v>-1705.02</v>
      </c>
    </row>
    <row r="1156" spans="1:8">
      <c r="A1156" s="14">
        <v>1151</v>
      </c>
      <c r="B1156" s="9">
        <v>46009</v>
      </c>
      <c r="C1156" s="10" t="s">
        <v>113</v>
      </c>
      <c r="D1156" s="10" t="s">
        <v>16</v>
      </c>
      <c r="E1156" s="11" t="s">
        <v>39</v>
      </c>
      <c r="F1156" s="5">
        <v>591.76</v>
      </c>
      <c r="G1156" s="13" t="s">
        <v>114</v>
      </c>
      <c r="H1156" s="12">
        <f t="shared" si="17"/>
        <v>-591.76</v>
      </c>
    </row>
    <row r="1157" spans="1:8">
      <c r="A1157" s="14">
        <v>1152</v>
      </c>
      <c r="B1157" s="9">
        <v>46009</v>
      </c>
      <c r="C1157" s="10" t="s">
        <v>113</v>
      </c>
      <c r="D1157" s="10" t="s">
        <v>16</v>
      </c>
      <c r="E1157" s="11" t="s">
        <v>33</v>
      </c>
      <c r="F1157" s="5">
        <v>1349.45</v>
      </c>
      <c r="G1157" s="13" t="s">
        <v>114</v>
      </c>
      <c r="H1157" s="12">
        <f t="shared" ref="H1157:H1220" si="18">IF(C1157="Despesa", F1157*-1, F1157)</f>
        <v>-1349.45</v>
      </c>
    </row>
    <row r="1158" spans="1:8">
      <c r="A1158" s="14">
        <v>1153</v>
      </c>
      <c r="B1158" s="9">
        <v>46009</v>
      </c>
      <c r="C1158" s="10" t="s">
        <v>113</v>
      </c>
      <c r="D1158" s="10" t="s">
        <v>14</v>
      </c>
      <c r="E1158" s="11" t="s">
        <v>52</v>
      </c>
      <c r="F1158" s="5">
        <v>887.22</v>
      </c>
      <c r="G1158" s="13" t="s">
        <v>114</v>
      </c>
      <c r="H1158" s="12">
        <f t="shared" si="18"/>
        <v>-887.22</v>
      </c>
    </row>
    <row r="1159" spans="1:8">
      <c r="A1159" s="14">
        <v>1154</v>
      </c>
      <c r="B1159" s="9">
        <v>46009</v>
      </c>
      <c r="C1159" s="10" t="s">
        <v>113</v>
      </c>
      <c r="D1159" s="10" t="s">
        <v>15</v>
      </c>
      <c r="E1159" s="11" t="s">
        <v>7</v>
      </c>
      <c r="F1159" s="5">
        <v>1246.71</v>
      </c>
      <c r="G1159" s="13" t="s">
        <v>114</v>
      </c>
      <c r="H1159" s="12">
        <f t="shared" si="18"/>
        <v>-1246.71</v>
      </c>
    </row>
    <row r="1160" spans="1:8">
      <c r="A1160" s="14">
        <v>1155</v>
      </c>
      <c r="B1160" s="9">
        <v>46010</v>
      </c>
      <c r="C1160" s="10" t="s">
        <v>113</v>
      </c>
      <c r="D1160" s="10" t="s">
        <v>15</v>
      </c>
      <c r="E1160" s="11" t="s">
        <v>37</v>
      </c>
      <c r="F1160" s="5">
        <v>486.48</v>
      </c>
      <c r="G1160" s="13" t="s">
        <v>114</v>
      </c>
      <c r="H1160" s="12">
        <f t="shared" si="18"/>
        <v>-486.48</v>
      </c>
    </row>
    <row r="1161" spans="1:8">
      <c r="A1161" s="14">
        <v>1156</v>
      </c>
      <c r="B1161" s="9">
        <v>46010</v>
      </c>
      <c r="C1161" s="10" t="s">
        <v>113</v>
      </c>
      <c r="D1161" s="10" t="s">
        <v>15</v>
      </c>
      <c r="E1161" s="11" t="s">
        <v>61</v>
      </c>
      <c r="F1161" s="5">
        <v>1908.53</v>
      </c>
      <c r="G1161" s="13" t="s">
        <v>114</v>
      </c>
      <c r="H1161" s="12">
        <f t="shared" si="18"/>
        <v>-1908.53</v>
      </c>
    </row>
    <row r="1162" spans="1:8">
      <c r="A1162" s="14">
        <v>1157</v>
      </c>
      <c r="B1162" s="9">
        <v>46010</v>
      </c>
      <c r="C1162" s="10" t="s">
        <v>113</v>
      </c>
      <c r="D1162" s="10" t="s">
        <v>14</v>
      </c>
      <c r="E1162" s="11" t="s">
        <v>64</v>
      </c>
      <c r="F1162" s="5">
        <v>1142.33</v>
      </c>
      <c r="G1162" s="13" t="s">
        <v>114</v>
      </c>
      <c r="H1162" s="12">
        <f t="shared" si="18"/>
        <v>-1142.33</v>
      </c>
    </row>
    <row r="1163" spans="1:8">
      <c r="A1163" s="14">
        <v>1158</v>
      </c>
      <c r="B1163" s="9">
        <v>46010</v>
      </c>
      <c r="C1163" s="10" t="s">
        <v>113</v>
      </c>
      <c r="D1163" s="10" t="s">
        <v>15</v>
      </c>
      <c r="E1163" s="11" t="s">
        <v>49</v>
      </c>
      <c r="F1163" s="5">
        <v>2100.36</v>
      </c>
      <c r="G1163" s="13" t="s">
        <v>114</v>
      </c>
      <c r="H1163" s="12">
        <f t="shared" si="18"/>
        <v>-2100.36</v>
      </c>
    </row>
    <row r="1164" spans="1:8">
      <c r="A1164" s="14">
        <v>1159</v>
      </c>
      <c r="B1164" s="9">
        <v>46010</v>
      </c>
      <c r="C1164" s="10" t="s">
        <v>113</v>
      </c>
      <c r="D1164" s="10" t="s">
        <v>9</v>
      </c>
      <c r="E1164" s="11" t="s">
        <v>44</v>
      </c>
      <c r="F1164" s="5">
        <v>1709.32</v>
      </c>
      <c r="G1164" s="13" t="s">
        <v>114</v>
      </c>
      <c r="H1164" s="12">
        <f t="shared" si="18"/>
        <v>-1709.32</v>
      </c>
    </row>
    <row r="1165" spans="1:8">
      <c r="A1165" s="14">
        <v>1160</v>
      </c>
      <c r="B1165" s="9">
        <v>46011</v>
      </c>
      <c r="C1165" s="10" t="s">
        <v>113</v>
      </c>
      <c r="D1165" s="10" t="s">
        <v>14</v>
      </c>
      <c r="E1165" s="11" t="s">
        <v>40</v>
      </c>
      <c r="F1165" s="5">
        <v>3601.28</v>
      </c>
      <c r="G1165" s="13" t="s">
        <v>114</v>
      </c>
      <c r="H1165" s="12">
        <f t="shared" si="18"/>
        <v>-3601.28</v>
      </c>
    </row>
    <row r="1166" spans="1:8">
      <c r="A1166" s="14">
        <v>1161</v>
      </c>
      <c r="B1166" s="9">
        <v>46011</v>
      </c>
      <c r="C1166" s="10" t="s">
        <v>113</v>
      </c>
      <c r="D1166" s="10" t="s">
        <v>17</v>
      </c>
      <c r="E1166" s="11" t="s">
        <v>42</v>
      </c>
      <c r="F1166" s="5">
        <v>248.91</v>
      </c>
      <c r="G1166" s="13" t="s">
        <v>114</v>
      </c>
      <c r="H1166" s="12">
        <f t="shared" si="18"/>
        <v>-248.91</v>
      </c>
    </row>
    <row r="1167" spans="1:8">
      <c r="A1167" s="14">
        <v>1162</v>
      </c>
      <c r="B1167" s="9">
        <v>46012</v>
      </c>
      <c r="C1167" s="10" t="s">
        <v>113</v>
      </c>
      <c r="D1167" s="10" t="s">
        <v>16</v>
      </c>
      <c r="E1167" s="11" t="s">
        <v>73</v>
      </c>
      <c r="F1167" s="5">
        <v>2719.85</v>
      </c>
      <c r="G1167" s="13" t="s">
        <v>114</v>
      </c>
      <c r="H1167" s="12">
        <f t="shared" si="18"/>
        <v>-2719.85</v>
      </c>
    </row>
    <row r="1168" spans="1:8">
      <c r="A1168" s="14">
        <v>1163</v>
      </c>
      <c r="B1168" s="9">
        <v>46012</v>
      </c>
      <c r="C1168" s="10" t="s">
        <v>113</v>
      </c>
      <c r="D1168" s="10" t="s">
        <v>14</v>
      </c>
      <c r="E1168" s="11" t="s">
        <v>29</v>
      </c>
      <c r="F1168" s="5">
        <v>2230.5700000000002</v>
      </c>
      <c r="G1168" s="13" t="s">
        <v>114</v>
      </c>
      <c r="H1168" s="12">
        <f t="shared" si="18"/>
        <v>-2230.5700000000002</v>
      </c>
    </row>
    <row r="1169" spans="1:8">
      <c r="A1169" s="14">
        <v>1164</v>
      </c>
      <c r="B1169" s="9">
        <v>46013</v>
      </c>
      <c r="C1169" s="10" t="s">
        <v>113</v>
      </c>
      <c r="D1169" s="10" t="s">
        <v>16</v>
      </c>
      <c r="E1169" s="11" t="s">
        <v>73</v>
      </c>
      <c r="F1169" s="5">
        <v>814.23</v>
      </c>
      <c r="G1169" s="13" t="s">
        <v>114</v>
      </c>
      <c r="H1169" s="12">
        <f t="shared" si="18"/>
        <v>-814.23</v>
      </c>
    </row>
    <row r="1170" spans="1:8">
      <c r="A1170" s="14">
        <v>1165</v>
      </c>
      <c r="B1170" s="9">
        <v>46013</v>
      </c>
      <c r="C1170" s="10" t="s">
        <v>113</v>
      </c>
      <c r="D1170" s="10" t="s">
        <v>15</v>
      </c>
      <c r="E1170" s="11" t="s">
        <v>26</v>
      </c>
      <c r="F1170" s="5">
        <v>2371.52</v>
      </c>
      <c r="G1170" s="13" t="s">
        <v>114</v>
      </c>
      <c r="H1170" s="12">
        <f t="shared" si="18"/>
        <v>-2371.52</v>
      </c>
    </row>
    <row r="1171" spans="1:8">
      <c r="A1171" s="14">
        <v>1166</v>
      </c>
      <c r="B1171" s="9">
        <v>46013</v>
      </c>
      <c r="C1171" s="10" t="s">
        <v>113</v>
      </c>
      <c r="D1171" s="10" t="s">
        <v>15</v>
      </c>
      <c r="E1171" s="11" t="s">
        <v>37</v>
      </c>
      <c r="F1171" s="5">
        <v>477.37</v>
      </c>
      <c r="G1171" s="13" t="s">
        <v>114</v>
      </c>
      <c r="H1171" s="12">
        <f t="shared" si="18"/>
        <v>-477.37</v>
      </c>
    </row>
    <row r="1172" spans="1:8">
      <c r="A1172" s="14">
        <v>1167</v>
      </c>
      <c r="B1172" s="9">
        <v>46013</v>
      </c>
      <c r="C1172" s="10" t="s">
        <v>113</v>
      </c>
      <c r="D1172" s="10" t="s">
        <v>17</v>
      </c>
      <c r="E1172" s="11" t="s">
        <v>54</v>
      </c>
      <c r="F1172" s="5">
        <v>2418.4</v>
      </c>
      <c r="G1172" s="13" t="s">
        <v>114</v>
      </c>
      <c r="H1172" s="12">
        <f t="shared" si="18"/>
        <v>-2418.4</v>
      </c>
    </row>
    <row r="1173" spans="1:8">
      <c r="A1173" s="14">
        <v>1168</v>
      </c>
      <c r="B1173" s="9">
        <v>46013</v>
      </c>
      <c r="C1173" s="10" t="s">
        <v>113</v>
      </c>
      <c r="D1173" s="10" t="s">
        <v>15</v>
      </c>
      <c r="E1173" s="11" t="s">
        <v>7</v>
      </c>
      <c r="F1173" s="5">
        <v>470.8</v>
      </c>
      <c r="G1173" s="13" t="s">
        <v>114</v>
      </c>
      <c r="H1173" s="12">
        <f t="shared" si="18"/>
        <v>-470.8</v>
      </c>
    </row>
    <row r="1174" spans="1:8">
      <c r="A1174" s="14">
        <v>1169</v>
      </c>
      <c r="B1174" s="9">
        <v>46013</v>
      </c>
      <c r="C1174" s="10" t="s">
        <v>113</v>
      </c>
      <c r="D1174" s="10" t="s">
        <v>15</v>
      </c>
      <c r="E1174" s="11" t="s">
        <v>55</v>
      </c>
      <c r="F1174" s="5">
        <v>2550.52</v>
      </c>
      <c r="G1174" s="13" t="s">
        <v>114</v>
      </c>
      <c r="H1174" s="12">
        <f t="shared" si="18"/>
        <v>-2550.52</v>
      </c>
    </row>
    <row r="1175" spans="1:8">
      <c r="A1175" s="14">
        <v>1170</v>
      </c>
      <c r="B1175" s="9">
        <v>46013</v>
      </c>
      <c r="C1175" s="10" t="s">
        <v>113</v>
      </c>
      <c r="D1175" s="10" t="s">
        <v>15</v>
      </c>
      <c r="E1175" s="11" t="s">
        <v>55</v>
      </c>
      <c r="F1175" s="5">
        <v>3344.03</v>
      </c>
      <c r="G1175" s="13" t="s">
        <v>114</v>
      </c>
      <c r="H1175" s="12">
        <f t="shared" si="18"/>
        <v>-3344.03</v>
      </c>
    </row>
    <row r="1176" spans="1:8">
      <c r="A1176" s="14">
        <v>1171</v>
      </c>
      <c r="B1176" s="9">
        <v>46013</v>
      </c>
      <c r="C1176" s="10" t="s">
        <v>113</v>
      </c>
      <c r="D1176" s="10" t="s">
        <v>16</v>
      </c>
      <c r="E1176" s="11" t="s">
        <v>22</v>
      </c>
      <c r="F1176" s="5">
        <v>1031.02</v>
      </c>
      <c r="G1176" s="13" t="s">
        <v>114</v>
      </c>
      <c r="H1176" s="12">
        <f t="shared" si="18"/>
        <v>-1031.02</v>
      </c>
    </row>
    <row r="1177" spans="1:8">
      <c r="A1177" s="14">
        <v>1172</v>
      </c>
      <c r="B1177" s="9">
        <v>46014</v>
      </c>
      <c r="C1177" s="10" t="s">
        <v>113</v>
      </c>
      <c r="D1177" s="10" t="s">
        <v>16</v>
      </c>
      <c r="E1177" s="11" t="s">
        <v>28</v>
      </c>
      <c r="F1177" s="5">
        <v>3872.26</v>
      </c>
      <c r="G1177" s="13" t="s">
        <v>114</v>
      </c>
      <c r="H1177" s="12">
        <f t="shared" si="18"/>
        <v>-3872.26</v>
      </c>
    </row>
    <row r="1178" spans="1:8">
      <c r="A1178" s="14">
        <v>1173</v>
      </c>
      <c r="B1178" s="9">
        <v>46014</v>
      </c>
      <c r="C1178" s="10" t="s">
        <v>113</v>
      </c>
      <c r="D1178" s="10" t="s">
        <v>10</v>
      </c>
      <c r="E1178" s="11" t="s">
        <v>19</v>
      </c>
      <c r="F1178" s="5">
        <v>22472.67</v>
      </c>
      <c r="G1178" s="13" t="s">
        <v>114</v>
      </c>
      <c r="H1178" s="12">
        <f t="shared" si="18"/>
        <v>-22472.67</v>
      </c>
    </row>
    <row r="1179" spans="1:8">
      <c r="A1179" s="14">
        <v>1174</v>
      </c>
      <c r="B1179" s="9">
        <v>46014</v>
      </c>
      <c r="C1179" s="10" t="s">
        <v>113</v>
      </c>
      <c r="D1179" s="10" t="s">
        <v>15</v>
      </c>
      <c r="E1179" s="11" t="s">
        <v>61</v>
      </c>
      <c r="F1179" s="5">
        <v>2409.17</v>
      </c>
      <c r="G1179" s="13" t="s">
        <v>114</v>
      </c>
      <c r="H1179" s="12">
        <f t="shared" si="18"/>
        <v>-2409.17</v>
      </c>
    </row>
    <row r="1180" spans="1:8">
      <c r="A1180" s="14">
        <v>1175</v>
      </c>
      <c r="B1180" s="9">
        <v>46014</v>
      </c>
      <c r="C1180" s="10" t="s">
        <v>113</v>
      </c>
      <c r="D1180" s="10" t="s">
        <v>16</v>
      </c>
      <c r="E1180" s="11" t="s">
        <v>51</v>
      </c>
      <c r="F1180" s="5">
        <v>1254</v>
      </c>
      <c r="G1180" s="13" t="s">
        <v>114</v>
      </c>
      <c r="H1180" s="12">
        <f t="shared" si="18"/>
        <v>-1254</v>
      </c>
    </row>
    <row r="1181" spans="1:8">
      <c r="A1181" s="14">
        <v>1176</v>
      </c>
      <c r="B1181" s="9">
        <v>46015</v>
      </c>
      <c r="C1181" s="10" t="s">
        <v>113</v>
      </c>
      <c r="D1181" s="10" t="s">
        <v>16</v>
      </c>
      <c r="E1181" s="11" t="s">
        <v>22</v>
      </c>
      <c r="F1181" s="5">
        <v>2794.13</v>
      </c>
      <c r="G1181" s="13" t="s">
        <v>114</v>
      </c>
      <c r="H1181" s="12">
        <f t="shared" si="18"/>
        <v>-2794.13</v>
      </c>
    </row>
    <row r="1182" spans="1:8">
      <c r="A1182" s="14">
        <v>1177</v>
      </c>
      <c r="B1182" s="9">
        <v>46015</v>
      </c>
      <c r="C1182" s="10" t="s">
        <v>113</v>
      </c>
      <c r="D1182" s="10" t="s">
        <v>14</v>
      </c>
      <c r="E1182" s="11" t="s">
        <v>58</v>
      </c>
      <c r="F1182" s="5">
        <v>584.91999999999996</v>
      </c>
      <c r="G1182" s="13" t="s">
        <v>114</v>
      </c>
      <c r="H1182" s="12">
        <f t="shared" si="18"/>
        <v>-584.91999999999996</v>
      </c>
    </row>
    <row r="1183" spans="1:8">
      <c r="A1183" s="14">
        <v>1178</v>
      </c>
      <c r="B1183" s="9">
        <v>46015</v>
      </c>
      <c r="C1183" s="10" t="s">
        <v>113</v>
      </c>
      <c r="D1183" s="10" t="s">
        <v>15</v>
      </c>
      <c r="E1183" s="11" t="s">
        <v>55</v>
      </c>
      <c r="F1183" s="5">
        <v>2261.79</v>
      </c>
      <c r="G1183" s="13" t="s">
        <v>114</v>
      </c>
      <c r="H1183" s="12">
        <f t="shared" si="18"/>
        <v>-2261.79</v>
      </c>
    </row>
    <row r="1184" spans="1:8">
      <c r="A1184" s="14">
        <v>1179</v>
      </c>
      <c r="B1184" s="9">
        <v>46016</v>
      </c>
      <c r="C1184" s="10" t="s">
        <v>113</v>
      </c>
      <c r="D1184" s="10" t="s">
        <v>14</v>
      </c>
      <c r="E1184" s="11" t="s">
        <v>58</v>
      </c>
      <c r="F1184" s="5">
        <v>445.95</v>
      </c>
      <c r="G1184" s="13" t="s">
        <v>114</v>
      </c>
      <c r="H1184" s="12">
        <f t="shared" si="18"/>
        <v>-445.95</v>
      </c>
    </row>
    <row r="1185" spans="1:8">
      <c r="A1185" s="14">
        <v>1180</v>
      </c>
      <c r="B1185" s="9">
        <v>46016</v>
      </c>
      <c r="C1185" s="10" t="s">
        <v>113</v>
      </c>
      <c r="D1185" s="10" t="s">
        <v>10</v>
      </c>
      <c r="E1185" s="11" t="s">
        <v>53</v>
      </c>
      <c r="F1185" s="5">
        <v>2844.12</v>
      </c>
      <c r="G1185" s="13" t="s">
        <v>114</v>
      </c>
      <c r="H1185" s="12">
        <f t="shared" si="18"/>
        <v>-2844.12</v>
      </c>
    </row>
    <row r="1186" spans="1:8">
      <c r="A1186" s="14">
        <v>1181</v>
      </c>
      <c r="B1186" s="9">
        <v>46016</v>
      </c>
      <c r="C1186" s="10" t="s">
        <v>113</v>
      </c>
      <c r="D1186" s="10" t="s">
        <v>9</v>
      </c>
      <c r="E1186" s="11" t="s">
        <v>67</v>
      </c>
      <c r="F1186" s="5">
        <v>3002.56</v>
      </c>
      <c r="G1186" s="13" t="s">
        <v>114</v>
      </c>
      <c r="H1186" s="12">
        <f t="shared" si="18"/>
        <v>-3002.56</v>
      </c>
    </row>
    <row r="1187" spans="1:8">
      <c r="A1187" s="14">
        <v>1182</v>
      </c>
      <c r="B1187" s="9">
        <v>46016</v>
      </c>
      <c r="C1187" s="10" t="s">
        <v>113</v>
      </c>
      <c r="D1187" s="10" t="s">
        <v>10</v>
      </c>
      <c r="E1187" s="11" t="s">
        <v>30</v>
      </c>
      <c r="F1187" s="5">
        <v>3281.52</v>
      </c>
      <c r="G1187" s="13" t="s">
        <v>114</v>
      </c>
      <c r="H1187" s="12">
        <f t="shared" si="18"/>
        <v>-3281.52</v>
      </c>
    </row>
    <row r="1188" spans="1:8">
      <c r="A1188" s="14">
        <v>1183</v>
      </c>
      <c r="B1188" s="9">
        <v>46017</v>
      </c>
      <c r="C1188" s="10" t="s">
        <v>113</v>
      </c>
      <c r="D1188" s="10" t="s">
        <v>10</v>
      </c>
      <c r="E1188" s="11" t="s">
        <v>24</v>
      </c>
      <c r="F1188" s="5">
        <v>6636.75</v>
      </c>
      <c r="G1188" s="13" t="s">
        <v>114</v>
      </c>
      <c r="H1188" s="12">
        <f t="shared" si="18"/>
        <v>-6636.75</v>
      </c>
    </row>
    <row r="1189" spans="1:8">
      <c r="A1189" s="14">
        <v>1184</v>
      </c>
      <c r="B1189" s="9">
        <v>46017</v>
      </c>
      <c r="C1189" s="10" t="s">
        <v>113</v>
      </c>
      <c r="D1189" s="10" t="s">
        <v>14</v>
      </c>
      <c r="E1189" s="11" t="s">
        <v>52</v>
      </c>
      <c r="F1189" s="5">
        <v>1382.93</v>
      </c>
      <c r="G1189" s="13" t="s">
        <v>114</v>
      </c>
      <c r="H1189" s="12">
        <f t="shared" si="18"/>
        <v>-1382.93</v>
      </c>
    </row>
    <row r="1190" spans="1:8">
      <c r="A1190" s="14">
        <v>1185</v>
      </c>
      <c r="B1190" s="9">
        <v>46017</v>
      </c>
      <c r="C1190" s="10" t="s">
        <v>113</v>
      </c>
      <c r="D1190" s="10" t="s">
        <v>14</v>
      </c>
      <c r="E1190" s="11" t="s">
        <v>29</v>
      </c>
      <c r="F1190" s="5">
        <v>1440.29</v>
      </c>
      <c r="G1190" s="13" t="s">
        <v>114</v>
      </c>
      <c r="H1190" s="12">
        <f t="shared" si="18"/>
        <v>-1440.29</v>
      </c>
    </row>
    <row r="1191" spans="1:8">
      <c r="A1191" s="14">
        <v>1186</v>
      </c>
      <c r="B1191" s="9">
        <v>46017</v>
      </c>
      <c r="C1191" s="10" t="s">
        <v>113</v>
      </c>
      <c r="D1191" s="10" t="s">
        <v>9</v>
      </c>
      <c r="E1191" s="11" t="s">
        <v>56</v>
      </c>
      <c r="F1191" s="5">
        <v>5222.2</v>
      </c>
      <c r="G1191" s="13" t="s">
        <v>114</v>
      </c>
      <c r="H1191" s="12">
        <f t="shared" si="18"/>
        <v>-5222.2</v>
      </c>
    </row>
    <row r="1192" spans="1:8">
      <c r="A1192" s="14">
        <v>1187</v>
      </c>
      <c r="B1192" s="9">
        <v>46017</v>
      </c>
      <c r="C1192" s="10" t="s">
        <v>113</v>
      </c>
      <c r="D1192" s="10" t="s">
        <v>15</v>
      </c>
      <c r="E1192" s="11" t="s">
        <v>43</v>
      </c>
      <c r="F1192" s="5">
        <v>1088.9000000000001</v>
      </c>
      <c r="G1192" s="13" t="s">
        <v>114</v>
      </c>
      <c r="H1192" s="12">
        <f t="shared" si="18"/>
        <v>-1088.9000000000001</v>
      </c>
    </row>
    <row r="1193" spans="1:8">
      <c r="A1193" s="14">
        <v>1188</v>
      </c>
      <c r="B1193" s="9">
        <v>46017</v>
      </c>
      <c r="C1193" s="10" t="s">
        <v>113</v>
      </c>
      <c r="D1193" s="10" t="s">
        <v>14</v>
      </c>
      <c r="E1193" s="11" t="s">
        <v>23</v>
      </c>
      <c r="F1193" s="5">
        <v>6146.14</v>
      </c>
      <c r="G1193" s="13" t="s">
        <v>114</v>
      </c>
      <c r="H1193" s="12">
        <f t="shared" si="18"/>
        <v>-6146.14</v>
      </c>
    </row>
    <row r="1194" spans="1:8">
      <c r="A1194" s="14">
        <v>1189</v>
      </c>
      <c r="B1194" s="9">
        <v>46018</v>
      </c>
      <c r="C1194" s="10" t="s">
        <v>113</v>
      </c>
      <c r="D1194" s="10" t="s">
        <v>10</v>
      </c>
      <c r="E1194" s="11" t="s">
        <v>70</v>
      </c>
      <c r="F1194" s="5">
        <v>4048.9</v>
      </c>
      <c r="G1194" s="13" t="s">
        <v>114</v>
      </c>
      <c r="H1194" s="12">
        <f t="shared" si="18"/>
        <v>-4048.9</v>
      </c>
    </row>
    <row r="1195" spans="1:8">
      <c r="A1195" s="14">
        <v>1190</v>
      </c>
      <c r="B1195" s="9">
        <v>46018</v>
      </c>
      <c r="C1195" s="10" t="s">
        <v>113</v>
      </c>
      <c r="D1195" s="10" t="s">
        <v>10</v>
      </c>
      <c r="E1195" s="11" t="s">
        <v>53</v>
      </c>
      <c r="F1195" s="5">
        <v>3146.81</v>
      </c>
      <c r="G1195" s="13" t="s">
        <v>114</v>
      </c>
      <c r="H1195" s="12">
        <f t="shared" si="18"/>
        <v>-3146.81</v>
      </c>
    </row>
    <row r="1196" spans="1:8">
      <c r="A1196" s="14">
        <v>1191</v>
      </c>
      <c r="B1196" s="9">
        <v>46019</v>
      </c>
      <c r="C1196" s="10" t="s">
        <v>113</v>
      </c>
      <c r="D1196" s="10" t="s">
        <v>15</v>
      </c>
      <c r="E1196" s="11" t="s">
        <v>61</v>
      </c>
      <c r="F1196" s="5">
        <v>816.07</v>
      </c>
      <c r="G1196" s="13" t="s">
        <v>114</v>
      </c>
      <c r="H1196" s="12">
        <f t="shared" si="18"/>
        <v>-816.07</v>
      </c>
    </row>
    <row r="1197" spans="1:8">
      <c r="A1197" s="14">
        <v>1192</v>
      </c>
      <c r="B1197" s="9">
        <v>46020</v>
      </c>
      <c r="C1197" s="10" t="s">
        <v>113</v>
      </c>
      <c r="D1197" s="10" t="s">
        <v>14</v>
      </c>
      <c r="E1197" s="11" t="s">
        <v>23</v>
      </c>
      <c r="F1197" s="5">
        <v>4431.2299999999996</v>
      </c>
      <c r="G1197" s="13" t="s">
        <v>114</v>
      </c>
      <c r="H1197" s="12">
        <f t="shared" si="18"/>
        <v>-4431.2299999999996</v>
      </c>
    </row>
    <row r="1198" spans="1:8">
      <c r="A1198" s="14">
        <v>1193</v>
      </c>
      <c r="B1198" s="9">
        <v>46020</v>
      </c>
      <c r="C1198" s="10" t="s">
        <v>113</v>
      </c>
      <c r="D1198" s="10" t="s">
        <v>15</v>
      </c>
      <c r="E1198" s="11" t="s">
        <v>55</v>
      </c>
      <c r="F1198" s="5">
        <v>3684.06</v>
      </c>
      <c r="G1198" s="13" t="s">
        <v>114</v>
      </c>
      <c r="H1198" s="12">
        <f t="shared" si="18"/>
        <v>-3684.06</v>
      </c>
    </row>
    <row r="1199" spans="1:8">
      <c r="A1199" s="14">
        <v>1194</v>
      </c>
      <c r="B1199" s="9">
        <v>46020</v>
      </c>
      <c r="C1199" s="10" t="s">
        <v>113</v>
      </c>
      <c r="D1199" s="10" t="s">
        <v>16</v>
      </c>
      <c r="E1199" s="11" t="s">
        <v>51</v>
      </c>
      <c r="F1199" s="5">
        <v>1330.46</v>
      </c>
      <c r="G1199" s="13" t="s">
        <v>114</v>
      </c>
      <c r="H1199" s="12">
        <f t="shared" si="18"/>
        <v>-1330.46</v>
      </c>
    </row>
    <row r="1200" spans="1:8">
      <c r="A1200" s="14">
        <v>1195</v>
      </c>
      <c r="B1200" s="9">
        <v>46021</v>
      </c>
      <c r="C1200" s="10" t="s">
        <v>113</v>
      </c>
      <c r="D1200" s="10" t="s">
        <v>10</v>
      </c>
      <c r="E1200" s="11" t="s">
        <v>30</v>
      </c>
      <c r="F1200" s="5">
        <v>5043.16</v>
      </c>
      <c r="G1200" s="13" t="s">
        <v>114</v>
      </c>
      <c r="H1200" s="12">
        <f t="shared" si="18"/>
        <v>-5043.16</v>
      </c>
    </row>
    <row r="1201" spans="1:11">
      <c r="A1201" s="14">
        <v>1196</v>
      </c>
      <c r="B1201" s="9">
        <v>46021</v>
      </c>
      <c r="C1201" s="10" t="s">
        <v>113</v>
      </c>
      <c r="D1201" s="10" t="s">
        <v>15</v>
      </c>
      <c r="E1201" s="11" t="s">
        <v>55</v>
      </c>
      <c r="F1201" s="5">
        <v>1002.59</v>
      </c>
      <c r="G1201" s="13" t="s">
        <v>114</v>
      </c>
      <c r="H1201" s="12">
        <f t="shared" si="18"/>
        <v>-1002.59</v>
      </c>
    </row>
    <row r="1202" spans="1:11">
      <c r="A1202" s="14">
        <v>1197</v>
      </c>
      <c r="B1202" s="9">
        <v>46022</v>
      </c>
      <c r="C1202" s="10" t="s">
        <v>113</v>
      </c>
      <c r="D1202" s="10" t="s">
        <v>15</v>
      </c>
      <c r="E1202" s="11" t="s">
        <v>55</v>
      </c>
      <c r="F1202" s="5">
        <v>1431.01</v>
      </c>
      <c r="G1202" s="13" t="s">
        <v>114</v>
      </c>
      <c r="H1202" s="12">
        <f t="shared" si="18"/>
        <v>-1431.01</v>
      </c>
    </row>
    <row r="1203" spans="1:11">
      <c r="A1203" s="14">
        <v>1198</v>
      </c>
      <c r="B1203" s="9">
        <v>46022</v>
      </c>
      <c r="C1203" s="10" t="s">
        <v>113</v>
      </c>
      <c r="D1203" s="10" t="s">
        <v>16</v>
      </c>
      <c r="E1203" s="11" t="s">
        <v>22</v>
      </c>
      <c r="F1203" s="5">
        <v>2934.02</v>
      </c>
      <c r="G1203" s="13" t="s">
        <v>114</v>
      </c>
      <c r="H1203" s="12">
        <f t="shared" si="18"/>
        <v>-2934.02</v>
      </c>
    </row>
    <row r="1204" spans="1:11">
      <c r="A1204" s="14">
        <v>1199</v>
      </c>
      <c r="B1204" s="9">
        <v>46022</v>
      </c>
      <c r="C1204" s="10" t="s">
        <v>113</v>
      </c>
      <c r="D1204" s="10" t="s">
        <v>15</v>
      </c>
      <c r="E1204" s="11" t="s">
        <v>8</v>
      </c>
      <c r="F1204" s="5">
        <v>4067.05</v>
      </c>
      <c r="G1204" s="13" t="s">
        <v>114</v>
      </c>
      <c r="H1204" s="12">
        <f t="shared" si="18"/>
        <v>-4067.05</v>
      </c>
      <c r="K1204">
        <v>-1</v>
      </c>
    </row>
    <row r="1205" spans="1:11">
      <c r="A1205" s="14">
        <v>1200</v>
      </c>
      <c r="B1205" s="9">
        <v>45658</v>
      </c>
      <c r="C1205" s="10" t="s">
        <v>5</v>
      </c>
      <c r="D1205" s="10" t="s">
        <v>75</v>
      </c>
      <c r="E1205" s="11" t="s">
        <v>97</v>
      </c>
      <c r="F1205" s="12">
        <v>3022.83</v>
      </c>
      <c r="G1205" s="13" t="s">
        <v>114</v>
      </c>
      <c r="H1205" s="12">
        <f t="shared" si="18"/>
        <v>3022.83</v>
      </c>
    </row>
    <row r="1206" spans="1:11">
      <c r="A1206" s="14">
        <v>1201</v>
      </c>
      <c r="B1206" s="9">
        <v>45659</v>
      </c>
      <c r="C1206" s="10" t="s">
        <v>5</v>
      </c>
      <c r="D1206" s="10" t="s">
        <v>75</v>
      </c>
      <c r="E1206" s="11" t="s">
        <v>101</v>
      </c>
      <c r="F1206" s="12">
        <v>2789.84</v>
      </c>
      <c r="G1206" s="13" t="s">
        <v>114</v>
      </c>
      <c r="H1206" s="12">
        <f t="shared" si="18"/>
        <v>2789.84</v>
      </c>
    </row>
    <row r="1207" spans="1:11">
      <c r="A1207" s="14">
        <v>1202</v>
      </c>
      <c r="B1207" s="9">
        <v>45660</v>
      </c>
      <c r="C1207" s="10" t="s">
        <v>5</v>
      </c>
      <c r="D1207" s="10" t="s">
        <v>77</v>
      </c>
      <c r="E1207" s="11" t="s">
        <v>96</v>
      </c>
      <c r="F1207" s="12">
        <v>6288.57</v>
      </c>
      <c r="G1207" s="13" t="s">
        <v>114</v>
      </c>
      <c r="H1207" s="12">
        <f t="shared" si="18"/>
        <v>6288.57</v>
      </c>
    </row>
    <row r="1208" spans="1:11">
      <c r="A1208" s="14">
        <v>1203</v>
      </c>
      <c r="B1208" s="9">
        <v>45660</v>
      </c>
      <c r="C1208" s="10" t="s">
        <v>5</v>
      </c>
      <c r="D1208" s="10" t="s">
        <v>76</v>
      </c>
      <c r="E1208" s="11" t="s">
        <v>83</v>
      </c>
      <c r="F1208" s="12">
        <v>19258.55</v>
      </c>
      <c r="G1208" s="13" t="s">
        <v>114</v>
      </c>
      <c r="H1208" s="12">
        <f t="shared" si="18"/>
        <v>19258.55</v>
      </c>
    </row>
    <row r="1209" spans="1:11">
      <c r="A1209" s="14">
        <v>1204</v>
      </c>
      <c r="B1209" s="9">
        <v>45663</v>
      </c>
      <c r="C1209" s="10" t="s">
        <v>5</v>
      </c>
      <c r="D1209" s="10" t="s">
        <v>75</v>
      </c>
      <c r="E1209" s="11" t="s">
        <v>93</v>
      </c>
      <c r="F1209" s="12">
        <v>1755.57</v>
      </c>
      <c r="G1209" s="13" t="s">
        <v>114</v>
      </c>
      <c r="H1209" s="12">
        <f t="shared" si="18"/>
        <v>1755.57</v>
      </c>
    </row>
    <row r="1210" spans="1:11">
      <c r="A1210" s="14">
        <v>1205</v>
      </c>
      <c r="B1210" s="9">
        <v>45663</v>
      </c>
      <c r="C1210" s="10" t="s">
        <v>5</v>
      </c>
      <c r="D1210" s="10" t="s">
        <v>76</v>
      </c>
      <c r="E1210" s="11" t="s">
        <v>87</v>
      </c>
      <c r="F1210" s="12">
        <v>1254.72</v>
      </c>
      <c r="G1210" s="13" t="s">
        <v>114</v>
      </c>
      <c r="H1210" s="12">
        <f t="shared" si="18"/>
        <v>1254.72</v>
      </c>
    </row>
    <row r="1211" spans="1:11">
      <c r="A1211" s="14">
        <v>1206</v>
      </c>
      <c r="B1211" s="9">
        <v>45663</v>
      </c>
      <c r="C1211" s="10" t="s">
        <v>5</v>
      </c>
      <c r="D1211" s="10" t="s">
        <v>75</v>
      </c>
      <c r="E1211" s="11" t="s">
        <v>89</v>
      </c>
      <c r="F1211" s="12">
        <v>7784.2</v>
      </c>
      <c r="G1211" s="13" t="s">
        <v>114</v>
      </c>
      <c r="H1211" s="12">
        <f t="shared" si="18"/>
        <v>7784.2</v>
      </c>
    </row>
    <row r="1212" spans="1:11">
      <c r="A1212" s="14">
        <v>1207</v>
      </c>
      <c r="B1212" s="9">
        <v>45664</v>
      </c>
      <c r="C1212" s="10" t="s">
        <v>5</v>
      </c>
      <c r="D1212" s="10" t="s">
        <v>75</v>
      </c>
      <c r="E1212" s="11" t="s">
        <v>78</v>
      </c>
      <c r="F1212" s="12">
        <v>9121.61</v>
      </c>
      <c r="G1212" s="13" t="s">
        <v>114</v>
      </c>
      <c r="H1212" s="12">
        <f t="shared" si="18"/>
        <v>9121.61</v>
      </c>
    </row>
    <row r="1213" spans="1:11">
      <c r="A1213" s="14">
        <v>1208</v>
      </c>
      <c r="B1213" s="9">
        <v>45665</v>
      </c>
      <c r="C1213" s="10" t="s">
        <v>5</v>
      </c>
      <c r="D1213" s="10" t="s">
        <v>75</v>
      </c>
      <c r="E1213" s="11" t="s">
        <v>89</v>
      </c>
      <c r="F1213" s="12">
        <v>5056.6899999999996</v>
      </c>
      <c r="G1213" s="13" t="s">
        <v>114</v>
      </c>
      <c r="H1213" s="12">
        <f t="shared" si="18"/>
        <v>5056.6899999999996</v>
      </c>
    </row>
    <row r="1214" spans="1:11">
      <c r="A1214" s="14">
        <v>1209</v>
      </c>
      <c r="B1214" s="9">
        <v>45668</v>
      </c>
      <c r="C1214" s="10" t="s">
        <v>5</v>
      </c>
      <c r="D1214" s="10" t="s">
        <v>76</v>
      </c>
      <c r="E1214" s="11" t="s">
        <v>87</v>
      </c>
      <c r="F1214" s="12">
        <v>692.26</v>
      </c>
      <c r="G1214" s="13" t="s">
        <v>114</v>
      </c>
      <c r="H1214" s="12">
        <f t="shared" si="18"/>
        <v>692.26</v>
      </c>
    </row>
    <row r="1215" spans="1:11">
      <c r="A1215" s="14">
        <v>1210</v>
      </c>
      <c r="B1215" s="9">
        <v>45669</v>
      </c>
      <c r="C1215" s="10" t="s">
        <v>5</v>
      </c>
      <c r="D1215" s="10" t="s">
        <v>18</v>
      </c>
      <c r="E1215" s="11" t="s">
        <v>90</v>
      </c>
      <c r="F1215" s="12">
        <v>7676.31</v>
      </c>
      <c r="G1215" s="13" t="s">
        <v>114</v>
      </c>
      <c r="H1215" s="12">
        <f t="shared" si="18"/>
        <v>7676.31</v>
      </c>
    </row>
    <row r="1216" spans="1:11">
      <c r="A1216" s="14">
        <v>1211</v>
      </c>
      <c r="B1216" s="9">
        <v>45671</v>
      </c>
      <c r="C1216" s="10" t="s">
        <v>5</v>
      </c>
      <c r="D1216" s="10" t="s">
        <v>76</v>
      </c>
      <c r="E1216" s="11" t="s">
        <v>91</v>
      </c>
      <c r="F1216" s="12">
        <v>7339.75</v>
      </c>
      <c r="G1216" s="13" t="s">
        <v>114</v>
      </c>
      <c r="H1216" s="12">
        <f t="shared" si="18"/>
        <v>7339.75</v>
      </c>
    </row>
    <row r="1217" spans="1:8">
      <c r="A1217" s="14">
        <v>1212</v>
      </c>
      <c r="B1217" s="9">
        <v>45671</v>
      </c>
      <c r="C1217" s="10" t="s">
        <v>5</v>
      </c>
      <c r="D1217" s="10" t="s">
        <v>75</v>
      </c>
      <c r="E1217" s="11" t="s">
        <v>97</v>
      </c>
      <c r="F1217" s="12">
        <v>1012.58</v>
      </c>
      <c r="G1217" s="13" t="s">
        <v>114</v>
      </c>
      <c r="H1217" s="12">
        <f t="shared" si="18"/>
        <v>1012.58</v>
      </c>
    </row>
    <row r="1218" spans="1:8">
      <c r="A1218" s="14">
        <v>1213</v>
      </c>
      <c r="B1218" s="9">
        <v>45671</v>
      </c>
      <c r="C1218" s="10" t="s">
        <v>5</v>
      </c>
      <c r="D1218" s="10" t="s">
        <v>75</v>
      </c>
      <c r="E1218" s="11" t="s">
        <v>97</v>
      </c>
      <c r="F1218" s="12">
        <v>2343.81</v>
      </c>
      <c r="G1218" s="13" t="s">
        <v>114</v>
      </c>
      <c r="H1218" s="12">
        <f t="shared" si="18"/>
        <v>2343.81</v>
      </c>
    </row>
    <row r="1219" spans="1:8">
      <c r="A1219" s="14">
        <v>1214</v>
      </c>
      <c r="B1219" s="9">
        <v>45671</v>
      </c>
      <c r="C1219" s="10" t="s">
        <v>5</v>
      </c>
      <c r="D1219" s="10" t="s">
        <v>75</v>
      </c>
      <c r="E1219" s="11" t="s">
        <v>97</v>
      </c>
      <c r="F1219" s="12">
        <v>1636.82</v>
      </c>
      <c r="G1219" s="13" t="s">
        <v>114</v>
      </c>
      <c r="H1219" s="12">
        <f t="shared" si="18"/>
        <v>1636.82</v>
      </c>
    </row>
    <row r="1220" spans="1:8">
      <c r="A1220" s="14">
        <v>1215</v>
      </c>
      <c r="B1220" s="9">
        <v>45671</v>
      </c>
      <c r="C1220" s="10" t="s">
        <v>5</v>
      </c>
      <c r="D1220" s="10" t="s">
        <v>75</v>
      </c>
      <c r="E1220" s="11" t="s">
        <v>101</v>
      </c>
      <c r="F1220" s="12">
        <v>6002.27</v>
      </c>
      <c r="G1220" s="13" t="s">
        <v>114</v>
      </c>
      <c r="H1220" s="12">
        <f t="shared" si="18"/>
        <v>6002.27</v>
      </c>
    </row>
    <row r="1221" spans="1:8">
      <c r="A1221" s="14">
        <v>1216</v>
      </c>
      <c r="B1221" s="9">
        <v>45672</v>
      </c>
      <c r="C1221" s="10" t="s">
        <v>5</v>
      </c>
      <c r="D1221" s="10" t="s">
        <v>75</v>
      </c>
      <c r="E1221" s="11" t="s">
        <v>106</v>
      </c>
      <c r="F1221" s="12">
        <v>3109.16</v>
      </c>
      <c r="G1221" s="13" t="s">
        <v>114</v>
      </c>
      <c r="H1221" s="12">
        <f t="shared" ref="H1221:H1284" si="19">IF(C1221="Despesa", F1221*-1, F1221)</f>
        <v>3109.16</v>
      </c>
    </row>
    <row r="1222" spans="1:8">
      <c r="A1222" s="14">
        <v>1217</v>
      </c>
      <c r="B1222" s="9">
        <v>45673</v>
      </c>
      <c r="C1222" s="10" t="s">
        <v>5</v>
      </c>
      <c r="D1222" s="10" t="s">
        <v>18</v>
      </c>
      <c r="E1222" s="11" t="s">
        <v>79</v>
      </c>
      <c r="F1222" s="12">
        <v>9475.01</v>
      </c>
      <c r="G1222" s="13" t="s">
        <v>114</v>
      </c>
      <c r="H1222" s="12">
        <f t="shared" si="19"/>
        <v>9475.01</v>
      </c>
    </row>
    <row r="1223" spans="1:8">
      <c r="A1223" s="14">
        <v>1218</v>
      </c>
      <c r="B1223" s="9">
        <v>45673</v>
      </c>
      <c r="C1223" s="10" t="s">
        <v>5</v>
      </c>
      <c r="D1223" s="10" t="s">
        <v>75</v>
      </c>
      <c r="E1223" s="11" t="s">
        <v>78</v>
      </c>
      <c r="F1223" s="12">
        <v>8404.35</v>
      </c>
      <c r="G1223" s="13" t="s">
        <v>114</v>
      </c>
      <c r="H1223" s="12">
        <f t="shared" si="19"/>
        <v>8404.35</v>
      </c>
    </row>
    <row r="1224" spans="1:8">
      <c r="A1224" s="14">
        <v>1219</v>
      </c>
      <c r="B1224" s="9">
        <v>45673</v>
      </c>
      <c r="C1224" s="10" t="s">
        <v>5</v>
      </c>
      <c r="D1224" s="10" t="s">
        <v>77</v>
      </c>
      <c r="E1224" s="11" t="s">
        <v>100</v>
      </c>
      <c r="F1224" s="12">
        <v>6266.88</v>
      </c>
      <c r="G1224" s="13" t="s">
        <v>114</v>
      </c>
      <c r="H1224" s="12">
        <f t="shared" si="19"/>
        <v>6266.88</v>
      </c>
    </row>
    <row r="1225" spans="1:8">
      <c r="A1225" s="14">
        <v>1220</v>
      </c>
      <c r="B1225" s="9">
        <v>45674</v>
      </c>
      <c r="C1225" s="10" t="s">
        <v>5</v>
      </c>
      <c r="D1225" s="10" t="s">
        <v>76</v>
      </c>
      <c r="E1225" s="11" t="s">
        <v>87</v>
      </c>
      <c r="F1225" s="12">
        <v>800.92</v>
      </c>
      <c r="G1225" s="13" t="s">
        <v>114</v>
      </c>
      <c r="H1225" s="12">
        <f t="shared" si="19"/>
        <v>800.92</v>
      </c>
    </row>
    <row r="1226" spans="1:8">
      <c r="A1226" s="14">
        <v>1221</v>
      </c>
      <c r="B1226" s="9">
        <v>45675</v>
      </c>
      <c r="C1226" s="10" t="s">
        <v>5</v>
      </c>
      <c r="D1226" s="10" t="s">
        <v>75</v>
      </c>
      <c r="E1226" s="11" t="s">
        <v>82</v>
      </c>
      <c r="F1226" s="12">
        <v>4549.16</v>
      </c>
      <c r="G1226" s="13" t="s">
        <v>114</v>
      </c>
      <c r="H1226" s="12">
        <f t="shared" si="19"/>
        <v>4549.16</v>
      </c>
    </row>
    <row r="1227" spans="1:8">
      <c r="A1227" s="14">
        <v>1222</v>
      </c>
      <c r="B1227" s="9">
        <v>45675</v>
      </c>
      <c r="C1227" s="10" t="s">
        <v>5</v>
      </c>
      <c r="D1227" s="10" t="s">
        <v>75</v>
      </c>
      <c r="E1227" s="11" t="s">
        <v>78</v>
      </c>
      <c r="F1227" s="12">
        <v>4772.1000000000004</v>
      </c>
      <c r="G1227" s="13" t="s">
        <v>114</v>
      </c>
      <c r="H1227" s="12">
        <f t="shared" si="19"/>
        <v>4772.1000000000004</v>
      </c>
    </row>
    <row r="1228" spans="1:8">
      <c r="A1228" s="14">
        <v>1223</v>
      </c>
      <c r="B1228" s="9">
        <v>45675</v>
      </c>
      <c r="C1228" s="10" t="s">
        <v>5</v>
      </c>
      <c r="D1228" s="10" t="s">
        <v>75</v>
      </c>
      <c r="E1228" s="11" t="s">
        <v>82</v>
      </c>
      <c r="F1228" s="12">
        <v>2536.65</v>
      </c>
      <c r="G1228" s="13" t="s">
        <v>114</v>
      </c>
      <c r="H1228" s="12">
        <f t="shared" si="19"/>
        <v>2536.65</v>
      </c>
    </row>
    <row r="1229" spans="1:8">
      <c r="A1229" s="14">
        <v>1224</v>
      </c>
      <c r="B1229" s="9">
        <v>45676</v>
      </c>
      <c r="C1229" s="10" t="s">
        <v>5</v>
      </c>
      <c r="D1229" s="10" t="s">
        <v>75</v>
      </c>
      <c r="E1229" s="11" t="s">
        <v>93</v>
      </c>
      <c r="F1229" s="12">
        <v>5953.34</v>
      </c>
      <c r="G1229" s="13" t="s">
        <v>114</v>
      </c>
      <c r="H1229" s="12">
        <f t="shared" si="19"/>
        <v>5953.34</v>
      </c>
    </row>
    <row r="1230" spans="1:8">
      <c r="A1230" s="14">
        <v>1225</v>
      </c>
      <c r="B1230" s="9">
        <v>45676</v>
      </c>
      <c r="C1230" s="10" t="s">
        <v>5</v>
      </c>
      <c r="D1230" s="10" t="s">
        <v>75</v>
      </c>
      <c r="E1230" s="11" t="s">
        <v>85</v>
      </c>
      <c r="F1230" s="12">
        <v>4394.0600000000004</v>
      </c>
      <c r="G1230" s="13" t="s">
        <v>114</v>
      </c>
      <c r="H1230" s="12">
        <f t="shared" si="19"/>
        <v>4394.0600000000004</v>
      </c>
    </row>
    <row r="1231" spans="1:8">
      <c r="A1231" s="14">
        <v>1226</v>
      </c>
      <c r="B1231" s="9">
        <v>45677</v>
      </c>
      <c r="C1231" s="10" t="s">
        <v>5</v>
      </c>
      <c r="D1231" s="10" t="s">
        <v>75</v>
      </c>
      <c r="E1231" s="11" t="s">
        <v>106</v>
      </c>
      <c r="F1231" s="12">
        <v>2056.23</v>
      </c>
      <c r="G1231" s="13" t="s">
        <v>114</v>
      </c>
      <c r="H1231" s="12">
        <f t="shared" si="19"/>
        <v>2056.23</v>
      </c>
    </row>
    <row r="1232" spans="1:8">
      <c r="A1232" s="14">
        <v>1227</v>
      </c>
      <c r="B1232" s="9">
        <v>45677</v>
      </c>
      <c r="C1232" s="10" t="s">
        <v>5</v>
      </c>
      <c r="D1232" s="10" t="s">
        <v>76</v>
      </c>
      <c r="E1232" s="11" t="s">
        <v>80</v>
      </c>
      <c r="F1232" s="12">
        <v>7137.8</v>
      </c>
      <c r="G1232" s="13" t="s">
        <v>114</v>
      </c>
      <c r="H1232" s="12">
        <f t="shared" si="19"/>
        <v>7137.8</v>
      </c>
    </row>
    <row r="1233" spans="1:8">
      <c r="A1233" s="14">
        <v>1228</v>
      </c>
      <c r="B1233" s="9">
        <v>45677</v>
      </c>
      <c r="C1233" s="10" t="s">
        <v>5</v>
      </c>
      <c r="D1233" s="10" t="s">
        <v>18</v>
      </c>
      <c r="E1233" s="11" t="s">
        <v>94</v>
      </c>
      <c r="F1233" s="12">
        <v>20637.87</v>
      </c>
      <c r="G1233" s="13" t="s">
        <v>114</v>
      </c>
      <c r="H1233" s="12">
        <f t="shared" si="19"/>
        <v>20637.87</v>
      </c>
    </row>
    <row r="1234" spans="1:8">
      <c r="A1234" s="14">
        <v>1229</v>
      </c>
      <c r="B1234" s="9">
        <v>45677</v>
      </c>
      <c r="C1234" s="10" t="s">
        <v>5</v>
      </c>
      <c r="D1234" s="10" t="s">
        <v>76</v>
      </c>
      <c r="E1234" s="11" t="s">
        <v>91</v>
      </c>
      <c r="F1234" s="12">
        <v>3994.76</v>
      </c>
      <c r="G1234" s="13" t="s">
        <v>114</v>
      </c>
      <c r="H1234" s="12">
        <f t="shared" si="19"/>
        <v>3994.76</v>
      </c>
    </row>
    <row r="1235" spans="1:8">
      <c r="A1235" s="14">
        <v>1230</v>
      </c>
      <c r="B1235" s="9">
        <v>45678</v>
      </c>
      <c r="C1235" s="10" t="s">
        <v>5</v>
      </c>
      <c r="D1235" s="10" t="s">
        <v>75</v>
      </c>
      <c r="E1235" s="11" t="s">
        <v>82</v>
      </c>
      <c r="F1235" s="12">
        <v>5167.63</v>
      </c>
      <c r="G1235" s="13" t="s">
        <v>114</v>
      </c>
      <c r="H1235" s="12">
        <f t="shared" si="19"/>
        <v>5167.63</v>
      </c>
    </row>
    <row r="1236" spans="1:8">
      <c r="A1236" s="14">
        <v>1231</v>
      </c>
      <c r="B1236" s="9">
        <v>45678</v>
      </c>
      <c r="C1236" s="10" t="s">
        <v>5</v>
      </c>
      <c r="D1236" s="10" t="s">
        <v>75</v>
      </c>
      <c r="E1236" s="11" t="s">
        <v>97</v>
      </c>
      <c r="F1236" s="12">
        <v>2575.67</v>
      </c>
      <c r="G1236" s="13" t="s">
        <v>114</v>
      </c>
      <c r="H1236" s="12">
        <f t="shared" si="19"/>
        <v>2575.67</v>
      </c>
    </row>
    <row r="1237" spans="1:8">
      <c r="A1237" s="14">
        <v>1232</v>
      </c>
      <c r="B1237" s="9">
        <v>45678</v>
      </c>
      <c r="C1237" s="10" t="s">
        <v>5</v>
      </c>
      <c r="D1237" s="10" t="s">
        <v>76</v>
      </c>
      <c r="E1237" s="11" t="s">
        <v>87</v>
      </c>
      <c r="F1237" s="12">
        <v>1799.73</v>
      </c>
      <c r="G1237" s="13" t="s">
        <v>114</v>
      </c>
      <c r="H1237" s="12">
        <f t="shared" si="19"/>
        <v>1799.73</v>
      </c>
    </row>
    <row r="1238" spans="1:8">
      <c r="A1238" s="14">
        <v>1233</v>
      </c>
      <c r="B1238" s="9">
        <v>45678</v>
      </c>
      <c r="C1238" s="10" t="s">
        <v>5</v>
      </c>
      <c r="D1238" s="10" t="s">
        <v>18</v>
      </c>
      <c r="E1238" s="11" t="s">
        <v>98</v>
      </c>
      <c r="F1238" s="12">
        <v>4812.55</v>
      </c>
      <c r="G1238" s="13" t="s">
        <v>114</v>
      </c>
      <c r="H1238" s="12">
        <f t="shared" si="19"/>
        <v>4812.55</v>
      </c>
    </row>
    <row r="1239" spans="1:8">
      <c r="A1239" s="14">
        <v>1234</v>
      </c>
      <c r="B1239" s="9">
        <v>45679</v>
      </c>
      <c r="C1239" s="10" t="s">
        <v>5</v>
      </c>
      <c r="D1239" s="10" t="s">
        <v>75</v>
      </c>
      <c r="E1239" s="11" t="s">
        <v>101</v>
      </c>
      <c r="F1239" s="12">
        <v>12914.75</v>
      </c>
      <c r="G1239" s="13" t="s">
        <v>114</v>
      </c>
      <c r="H1239" s="12">
        <f t="shared" si="19"/>
        <v>12914.75</v>
      </c>
    </row>
    <row r="1240" spans="1:8">
      <c r="A1240" s="14">
        <v>1235</v>
      </c>
      <c r="B1240" s="9">
        <v>45679</v>
      </c>
      <c r="C1240" s="10" t="s">
        <v>5</v>
      </c>
      <c r="D1240" s="10" t="s">
        <v>76</v>
      </c>
      <c r="E1240" s="11" t="s">
        <v>102</v>
      </c>
      <c r="F1240" s="12">
        <v>3499.77</v>
      </c>
      <c r="G1240" s="13" t="s">
        <v>114</v>
      </c>
      <c r="H1240" s="12">
        <f t="shared" si="19"/>
        <v>3499.77</v>
      </c>
    </row>
    <row r="1241" spans="1:8">
      <c r="A1241" s="14">
        <v>1236</v>
      </c>
      <c r="B1241" s="9">
        <v>45679</v>
      </c>
      <c r="C1241" s="10" t="s">
        <v>5</v>
      </c>
      <c r="D1241" s="10" t="s">
        <v>77</v>
      </c>
      <c r="E1241" s="11" t="s">
        <v>100</v>
      </c>
      <c r="F1241" s="12">
        <v>12955.24</v>
      </c>
      <c r="G1241" s="13" t="s">
        <v>114</v>
      </c>
      <c r="H1241" s="12">
        <f t="shared" si="19"/>
        <v>12955.24</v>
      </c>
    </row>
    <row r="1242" spans="1:8">
      <c r="A1242" s="14">
        <v>1237</v>
      </c>
      <c r="B1242" s="9">
        <v>45679</v>
      </c>
      <c r="C1242" s="10" t="s">
        <v>5</v>
      </c>
      <c r="D1242" s="10" t="s">
        <v>76</v>
      </c>
      <c r="E1242" s="11" t="s">
        <v>91</v>
      </c>
      <c r="F1242" s="12">
        <v>4248.6099999999997</v>
      </c>
      <c r="G1242" s="13" t="s">
        <v>114</v>
      </c>
      <c r="H1242" s="12">
        <f t="shared" si="19"/>
        <v>4248.6099999999997</v>
      </c>
    </row>
    <row r="1243" spans="1:8">
      <c r="A1243" s="14">
        <v>1238</v>
      </c>
      <c r="B1243" s="9">
        <v>45679</v>
      </c>
      <c r="C1243" s="10" t="s">
        <v>5</v>
      </c>
      <c r="D1243" s="10" t="s">
        <v>18</v>
      </c>
      <c r="E1243" s="11" t="s">
        <v>86</v>
      </c>
      <c r="F1243" s="12">
        <v>7038.16</v>
      </c>
      <c r="G1243" s="13" t="s">
        <v>114</v>
      </c>
      <c r="H1243" s="12">
        <f t="shared" si="19"/>
        <v>7038.16</v>
      </c>
    </row>
    <row r="1244" spans="1:8">
      <c r="A1244" s="14">
        <v>1239</v>
      </c>
      <c r="B1244" s="9">
        <v>45680</v>
      </c>
      <c r="C1244" s="10" t="s">
        <v>5</v>
      </c>
      <c r="D1244" s="10" t="s">
        <v>18</v>
      </c>
      <c r="E1244" s="11" t="s">
        <v>94</v>
      </c>
      <c r="F1244" s="12">
        <v>20816.939999999999</v>
      </c>
      <c r="G1244" s="13" t="s">
        <v>114</v>
      </c>
      <c r="H1244" s="12">
        <f t="shared" si="19"/>
        <v>20816.939999999999</v>
      </c>
    </row>
    <row r="1245" spans="1:8">
      <c r="A1245" s="14">
        <v>1240</v>
      </c>
      <c r="B1245" s="9">
        <v>45680</v>
      </c>
      <c r="C1245" s="10" t="s">
        <v>5</v>
      </c>
      <c r="D1245" s="10" t="s">
        <v>77</v>
      </c>
      <c r="E1245" s="11" t="s">
        <v>109</v>
      </c>
      <c r="F1245" s="12">
        <v>9199.52</v>
      </c>
      <c r="G1245" s="13" t="s">
        <v>114</v>
      </c>
      <c r="H1245" s="12">
        <f t="shared" si="19"/>
        <v>9199.52</v>
      </c>
    </row>
    <row r="1246" spans="1:8">
      <c r="A1246" s="14">
        <v>1241</v>
      </c>
      <c r="B1246" s="9">
        <v>45680</v>
      </c>
      <c r="C1246" s="10" t="s">
        <v>5</v>
      </c>
      <c r="D1246" s="10" t="s">
        <v>76</v>
      </c>
      <c r="E1246" s="11" t="s">
        <v>80</v>
      </c>
      <c r="F1246" s="12">
        <v>11422.8</v>
      </c>
      <c r="G1246" s="13" t="s">
        <v>114</v>
      </c>
      <c r="H1246" s="12">
        <f t="shared" si="19"/>
        <v>11422.8</v>
      </c>
    </row>
    <row r="1247" spans="1:8">
      <c r="A1247" s="14">
        <v>1242</v>
      </c>
      <c r="B1247" s="9">
        <v>45681</v>
      </c>
      <c r="C1247" s="10" t="s">
        <v>5</v>
      </c>
      <c r="D1247" s="10" t="s">
        <v>75</v>
      </c>
      <c r="E1247" s="11" t="s">
        <v>85</v>
      </c>
      <c r="F1247" s="12">
        <v>1608.2</v>
      </c>
      <c r="G1247" s="13" t="s">
        <v>114</v>
      </c>
      <c r="H1247" s="12">
        <f t="shared" si="19"/>
        <v>1608.2</v>
      </c>
    </row>
    <row r="1248" spans="1:8">
      <c r="A1248" s="14">
        <v>1243</v>
      </c>
      <c r="B1248" s="9">
        <v>45681</v>
      </c>
      <c r="C1248" s="10" t="s">
        <v>5</v>
      </c>
      <c r="D1248" s="10" t="s">
        <v>77</v>
      </c>
      <c r="E1248" s="11" t="s">
        <v>108</v>
      </c>
      <c r="F1248" s="12">
        <v>3034.53</v>
      </c>
      <c r="G1248" s="13" t="s">
        <v>114</v>
      </c>
      <c r="H1248" s="12">
        <f t="shared" si="19"/>
        <v>3034.53</v>
      </c>
    </row>
    <row r="1249" spans="1:8">
      <c r="A1249" s="14">
        <v>1244</v>
      </c>
      <c r="B1249" s="9">
        <v>45681</v>
      </c>
      <c r="C1249" s="10" t="s">
        <v>5</v>
      </c>
      <c r="D1249" s="10" t="s">
        <v>76</v>
      </c>
      <c r="E1249" s="11" t="s">
        <v>80</v>
      </c>
      <c r="F1249" s="12">
        <v>9903.44</v>
      </c>
      <c r="G1249" s="13" t="s">
        <v>114</v>
      </c>
      <c r="H1249" s="12">
        <f t="shared" si="19"/>
        <v>9903.44</v>
      </c>
    </row>
    <row r="1250" spans="1:8">
      <c r="A1250" s="14">
        <v>1245</v>
      </c>
      <c r="B1250" s="9">
        <v>45681</v>
      </c>
      <c r="C1250" s="10" t="s">
        <v>5</v>
      </c>
      <c r="D1250" s="10" t="s">
        <v>75</v>
      </c>
      <c r="E1250" s="11" t="s">
        <v>78</v>
      </c>
      <c r="F1250" s="12">
        <v>4206.18</v>
      </c>
      <c r="G1250" s="13" t="s">
        <v>114</v>
      </c>
      <c r="H1250" s="12">
        <f t="shared" si="19"/>
        <v>4206.18</v>
      </c>
    </row>
    <row r="1251" spans="1:8">
      <c r="A1251" s="14">
        <v>1246</v>
      </c>
      <c r="B1251" s="9">
        <v>45682</v>
      </c>
      <c r="C1251" s="10" t="s">
        <v>5</v>
      </c>
      <c r="D1251" s="10" t="s">
        <v>75</v>
      </c>
      <c r="E1251" s="11" t="s">
        <v>89</v>
      </c>
      <c r="F1251" s="12">
        <v>1612.19</v>
      </c>
      <c r="G1251" s="13" t="s">
        <v>114</v>
      </c>
      <c r="H1251" s="12">
        <f t="shared" si="19"/>
        <v>1612.19</v>
      </c>
    </row>
    <row r="1252" spans="1:8">
      <c r="A1252" s="14">
        <v>1247</v>
      </c>
      <c r="B1252" s="9">
        <v>45682</v>
      </c>
      <c r="C1252" s="10" t="s">
        <v>5</v>
      </c>
      <c r="D1252" s="10" t="s">
        <v>75</v>
      </c>
      <c r="E1252" s="11" t="s">
        <v>85</v>
      </c>
      <c r="F1252" s="12">
        <v>6635.06</v>
      </c>
      <c r="G1252" s="13" t="s">
        <v>114</v>
      </c>
      <c r="H1252" s="12">
        <f t="shared" si="19"/>
        <v>6635.06</v>
      </c>
    </row>
    <row r="1253" spans="1:8">
      <c r="A1253" s="14">
        <v>1248</v>
      </c>
      <c r="B1253" s="9">
        <v>45683</v>
      </c>
      <c r="C1253" s="10" t="s">
        <v>5</v>
      </c>
      <c r="D1253" s="10" t="s">
        <v>75</v>
      </c>
      <c r="E1253" s="11" t="s">
        <v>89</v>
      </c>
      <c r="F1253" s="12">
        <v>6133.23</v>
      </c>
      <c r="G1253" s="13" t="s">
        <v>114</v>
      </c>
      <c r="H1253" s="12">
        <f t="shared" si="19"/>
        <v>6133.23</v>
      </c>
    </row>
    <row r="1254" spans="1:8">
      <c r="A1254" s="14">
        <v>1249</v>
      </c>
      <c r="B1254" s="9">
        <v>45683</v>
      </c>
      <c r="C1254" s="10" t="s">
        <v>5</v>
      </c>
      <c r="D1254" s="10" t="s">
        <v>75</v>
      </c>
      <c r="E1254" s="11" t="s">
        <v>78</v>
      </c>
      <c r="F1254" s="12">
        <v>9782.9500000000007</v>
      </c>
      <c r="G1254" s="13" t="s">
        <v>114</v>
      </c>
      <c r="H1254" s="12">
        <f t="shared" si="19"/>
        <v>9782.9500000000007</v>
      </c>
    </row>
    <row r="1255" spans="1:8">
      <c r="A1255" s="14">
        <v>1250</v>
      </c>
      <c r="B1255" s="9">
        <v>45683</v>
      </c>
      <c r="C1255" s="10" t="s">
        <v>5</v>
      </c>
      <c r="D1255" s="10" t="s">
        <v>18</v>
      </c>
      <c r="E1255" s="11" t="s">
        <v>79</v>
      </c>
      <c r="F1255" s="12">
        <v>13013.3</v>
      </c>
      <c r="G1255" s="13" t="s">
        <v>114</v>
      </c>
      <c r="H1255" s="12">
        <f t="shared" si="19"/>
        <v>13013.3</v>
      </c>
    </row>
    <row r="1256" spans="1:8">
      <c r="A1256" s="14">
        <v>1251</v>
      </c>
      <c r="B1256" s="9">
        <v>45684</v>
      </c>
      <c r="C1256" s="10" t="s">
        <v>5</v>
      </c>
      <c r="D1256" s="10" t="s">
        <v>76</v>
      </c>
      <c r="E1256" s="11" t="s">
        <v>80</v>
      </c>
      <c r="F1256" s="12">
        <v>5205.3599999999997</v>
      </c>
      <c r="G1256" s="13" t="s">
        <v>114</v>
      </c>
      <c r="H1256" s="12">
        <f t="shared" si="19"/>
        <v>5205.3599999999997</v>
      </c>
    </row>
    <row r="1257" spans="1:8">
      <c r="A1257" s="14">
        <v>1252</v>
      </c>
      <c r="B1257" s="9">
        <v>45684</v>
      </c>
      <c r="C1257" s="10" t="s">
        <v>5</v>
      </c>
      <c r="D1257" s="10" t="s">
        <v>76</v>
      </c>
      <c r="E1257" s="11" t="s">
        <v>91</v>
      </c>
      <c r="F1257" s="12">
        <v>5319.44</v>
      </c>
      <c r="G1257" s="13" t="s">
        <v>114</v>
      </c>
      <c r="H1257" s="12">
        <f t="shared" si="19"/>
        <v>5319.44</v>
      </c>
    </row>
    <row r="1258" spans="1:8">
      <c r="A1258" s="14">
        <v>1253</v>
      </c>
      <c r="B1258" s="9">
        <v>45684</v>
      </c>
      <c r="C1258" s="10" t="s">
        <v>5</v>
      </c>
      <c r="D1258" s="10" t="s">
        <v>75</v>
      </c>
      <c r="E1258" s="11" t="s">
        <v>111</v>
      </c>
      <c r="F1258" s="12">
        <v>5253.59</v>
      </c>
      <c r="G1258" s="13" t="s">
        <v>114</v>
      </c>
      <c r="H1258" s="12">
        <f t="shared" si="19"/>
        <v>5253.59</v>
      </c>
    </row>
    <row r="1259" spans="1:8">
      <c r="A1259" s="14">
        <v>1254</v>
      </c>
      <c r="B1259" s="9">
        <v>45684</v>
      </c>
      <c r="C1259" s="10" t="s">
        <v>5</v>
      </c>
      <c r="D1259" s="10" t="s">
        <v>75</v>
      </c>
      <c r="E1259" s="11" t="s">
        <v>89</v>
      </c>
      <c r="F1259" s="12">
        <v>2983.85</v>
      </c>
      <c r="G1259" s="13" t="s">
        <v>114</v>
      </c>
      <c r="H1259" s="12">
        <f t="shared" si="19"/>
        <v>2983.85</v>
      </c>
    </row>
    <row r="1260" spans="1:8">
      <c r="A1260" s="14">
        <v>1255</v>
      </c>
      <c r="B1260" s="9">
        <v>45684</v>
      </c>
      <c r="C1260" s="10" t="s">
        <v>5</v>
      </c>
      <c r="D1260" s="10" t="s">
        <v>75</v>
      </c>
      <c r="E1260" s="11" t="s">
        <v>93</v>
      </c>
      <c r="F1260" s="12">
        <v>2211.1999999999998</v>
      </c>
      <c r="G1260" s="13" t="s">
        <v>114</v>
      </c>
      <c r="H1260" s="12">
        <f t="shared" si="19"/>
        <v>2211.1999999999998</v>
      </c>
    </row>
    <row r="1261" spans="1:8">
      <c r="A1261" s="14">
        <v>1256</v>
      </c>
      <c r="B1261" s="9">
        <v>45685</v>
      </c>
      <c r="C1261" s="10" t="s">
        <v>5</v>
      </c>
      <c r="D1261" s="10" t="s">
        <v>75</v>
      </c>
      <c r="E1261" s="11" t="s">
        <v>97</v>
      </c>
      <c r="F1261" s="12">
        <v>1106.5</v>
      </c>
      <c r="G1261" s="13" t="s">
        <v>114</v>
      </c>
      <c r="H1261" s="12">
        <f t="shared" si="19"/>
        <v>1106.5</v>
      </c>
    </row>
    <row r="1262" spans="1:8">
      <c r="A1262" s="14">
        <v>1257</v>
      </c>
      <c r="B1262" s="9">
        <v>45685</v>
      </c>
      <c r="C1262" s="10" t="s">
        <v>5</v>
      </c>
      <c r="D1262" s="10" t="s">
        <v>75</v>
      </c>
      <c r="E1262" s="11" t="s">
        <v>82</v>
      </c>
      <c r="F1262" s="12">
        <v>4152.16</v>
      </c>
      <c r="G1262" s="13" t="s">
        <v>114</v>
      </c>
      <c r="H1262" s="12">
        <f t="shared" si="19"/>
        <v>4152.16</v>
      </c>
    </row>
    <row r="1263" spans="1:8">
      <c r="A1263" s="14">
        <v>1258</v>
      </c>
      <c r="B1263" s="9">
        <v>45685</v>
      </c>
      <c r="C1263" s="10" t="s">
        <v>5</v>
      </c>
      <c r="D1263" s="10" t="s">
        <v>75</v>
      </c>
      <c r="E1263" s="11" t="s">
        <v>101</v>
      </c>
      <c r="F1263" s="12">
        <v>6026.82</v>
      </c>
      <c r="G1263" s="13" t="s">
        <v>114</v>
      </c>
      <c r="H1263" s="12">
        <f t="shared" si="19"/>
        <v>6026.82</v>
      </c>
    </row>
    <row r="1264" spans="1:8">
      <c r="A1264" s="14">
        <v>1259</v>
      </c>
      <c r="B1264" s="9">
        <v>45685</v>
      </c>
      <c r="C1264" s="10" t="s">
        <v>5</v>
      </c>
      <c r="D1264" s="10" t="s">
        <v>76</v>
      </c>
      <c r="E1264" s="11" t="s">
        <v>87</v>
      </c>
      <c r="F1264" s="12">
        <v>942.11</v>
      </c>
      <c r="G1264" s="13" t="s">
        <v>114</v>
      </c>
      <c r="H1264" s="12">
        <f t="shared" si="19"/>
        <v>942.11</v>
      </c>
    </row>
    <row r="1265" spans="1:8">
      <c r="A1265" s="14">
        <v>1260</v>
      </c>
      <c r="B1265" s="9">
        <v>45686</v>
      </c>
      <c r="C1265" s="10" t="s">
        <v>5</v>
      </c>
      <c r="D1265" s="10" t="s">
        <v>75</v>
      </c>
      <c r="E1265" s="11" t="s">
        <v>78</v>
      </c>
      <c r="F1265" s="12">
        <v>6238.49</v>
      </c>
      <c r="G1265" s="13" t="s">
        <v>114</v>
      </c>
      <c r="H1265" s="12">
        <f t="shared" si="19"/>
        <v>6238.49</v>
      </c>
    </row>
    <row r="1266" spans="1:8">
      <c r="A1266" s="14">
        <v>1261</v>
      </c>
      <c r="B1266" s="9">
        <v>45686</v>
      </c>
      <c r="C1266" s="10" t="s">
        <v>5</v>
      </c>
      <c r="D1266" s="10" t="s">
        <v>75</v>
      </c>
      <c r="E1266" s="11" t="s">
        <v>111</v>
      </c>
      <c r="F1266" s="12">
        <v>5830.33</v>
      </c>
      <c r="G1266" s="13" t="s">
        <v>114</v>
      </c>
      <c r="H1266" s="12">
        <f t="shared" si="19"/>
        <v>5830.33</v>
      </c>
    </row>
    <row r="1267" spans="1:8">
      <c r="A1267" s="14">
        <v>1262</v>
      </c>
      <c r="B1267" s="9">
        <v>45687</v>
      </c>
      <c r="C1267" s="10" t="s">
        <v>5</v>
      </c>
      <c r="D1267" s="10" t="s">
        <v>75</v>
      </c>
      <c r="E1267" s="11" t="s">
        <v>89</v>
      </c>
      <c r="F1267" s="12">
        <v>3126.05</v>
      </c>
      <c r="G1267" s="13" t="s">
        <v>114</v>
      </c>
      <c r="H1267" s="12">
        <f t="shared" si="19"/>
        <v>3126.05</v>
      </c>
    </row>
    <row r="1268" spans="1:8">
      <c r="A1268" s="14">
        <v>1263</v>
      </c>
      <c r="B1268" s="9">
        <v>45687</v>
      </c>
      <c r="C1268" s="10" t="s">
        <v>5</v>
      </c>
      <c r="D1268" s="10" t="s">
        <v>18</v>
      </c>
      <c r="E1268" s="11" t="s">
        <v>104</v>
      </c>
      <c r="F1268" s="12">
        <v>2601.94</v>
      </c>
      <c r="G1268" s="13" t="s">
        <v>114</v>
      </c>
      <c r="H1268" s="12">
        <f t="shared" si="19"/>
        <v>2601.94</v>
      </c>
    </row>
    <row r="1269" spans="1:8">
      <c r="A1269" s="14">
        <v>1264</v>
      </c>
      <c r="B1269" s="9">
        <v>45687</v>
      </c>
      <c r="C1269" s="10" t="s">
        <v>5</v>
      </c>
      <c r="D1269" s="10" t="s">
        <v>75</v>
      </c>
      <c r="E1269" s="11" t="s">
        <v>101</v>
      </c>
      <c r="F1269" s="12">
        <v>4615.18</v>
      </c>
      <c r="G1269" s="13" t="s">
        <v>114</v>
      </c>
      <c r="H1269" s="12">
        <f t="shared" si="19"/>
        <v>4615.18</v>
      </c>
    </row>
    <row r="1270" spans="1:8">
      <c r="A1270" s="14">
        <v>1265</v>
      </c>
      <c r="B1270" s="9">
        <v>45689</v>
      </c>
      <c r="C1270" s="10" t="s">
        <v>5</v>
      </c>
      <c r="D1270" s="10" t="s">
        <v>75</v>
      </c>
      <c r="E1270" s="11" t="s">
        <v>101</v>
      </c>
      <c r="F1270" s="12">
        <v>6229.94</v>
      </c>
      <c r="G1270" s="13" t="s">
        <v>114</v>
      </c>
      <c r="H1270" s="12">
        <f t="shared" si="19"/>
        <v>6229.94</v>
      </c>
    </row>
    <row r="1271" spans="1:8">
      <c r="A1271" s="14">
        <v>1266</v>
      </c>
      <c r="B1271" s="9">
        <v>45689</v>
      </c>
      <c r="C1271" s="10" t="s">
        <v>5</v>
      </c>
      <c r="D1271" s="10" t="s">
        <v>75</v>
      </c>
      <c r="E1271" s="11" t="s">
        <v>78</v>
      </c>
      <c r="F1271" s="12">
        <v>9570.16</v>
      </c>
      <c r="G1271" s="13" t="s">
        <v>114</v>
      </c>
      <c r="H1271" s="12">
        <f t="shared" si="19"/>
        <v>9570.16</v>
      </c>
    </row>
    <row r="1272" spans="1:8">
      <c r="A1272" s="14">
        <v>1267</v>
      </c>
      <c r="B1272" s="9">
        <v>45690</v>
      </c>
      <c r="C1272" s="10" t="s">
        <v>5</v>
      </c>
      <c r="D1272" s="10" t="s">
        <v>75</v>
      </c>
      <c r="E1272" s="11" t="s">
        <v>78</v>
      </c>
      <c r="F1272" s="12">
        <v>7089.73</v>
      </c>
      <c r="G1272" s="13" t="s">
        <v>114</v>
      </c>
      <c r="H1272" s="12">
        <f t="shared" si="19"/>
        <v>7089.73</v>
      </c>
    </row>
    <row r="1273" spans="1:8">
      <c r="A1273" s="14">
        <v>1268</v>
      </c>
      <c r="B1273" s="9">
        <v>45691</v>
      </c>
      <c r="C1273" s="10" t="s">
        <v>5</v>
      </c>
      <c r="D1273" s="10" t="s">
        <v>77</v>
      </c>
      <c r="E1273" s="11" t="s">
        <v>92</v>
      </c>
      <c r="F1273" s="12">
        <v>18033.689999999999</v>
      </c>
      <c r="G1273" s="13" t="s">
        <v>114</v>
      </c>
      <c r="H1273" s="12">
        <f t="shared" si="19"/>
        <v>18033.689999999999</v>
      </c>
    </row>
    <row r="1274" spans="1:8">
      <c r="A1274" s="14">
        <v>1269</v>
      </c>
      <c r="B1274" s="9">
        <v>45691</v>
      </c>
      <c r="C1274" s="10" t="s">
        <v>5</v>
      </c>
      <c r="D1274" s="10" t="s">
        <v>76</v>
      </c>
      <c r="E1274" s="11" t="s">
        <v>95</v>
      </c>
      <c r="F1274" s="12">
        <v>5334.62</v>
      </c>
      <c r="G1274" s="13" t="s">
        <v>114</v>
      </c>
      <c r="H1274" s="12">
        <f t="shared" si="19"/>
        <v>5334.62</v>
      </c>
    </row>
    <row r="1275" spans="1:8">
      <c r="A1275" s="14">
        <v>1270</v>
      </c>
      <c r="B1275" s="9">
        <v>45691</v>
      </c>
      <c r="C1275" s="10" t="s">
        <v>5</v>
      </c>
      <c r="D1275" s="10" t="s">
        <v>75</v>
      </c>
      <c r="E1275" s="11" t="s">
        <v>82</v>
      </c>
      <c r="F1275" s="12">
        <v>4618.82</v>
      </c>
      <c r="G1275" s="13" t="s">
        <v>114</v>
      </c>
      <c r="H1275" s="12">
        <f t="shared" si="19"/>
        <v>4618.82</v>
      </c>
    </row>
    <row r="1276" spans="1:8">
      <c r="A1276" s="14">
        <v>1271</v>
      </c>
      <c r="B1276" s="9">
        <v>45691</v>
      </c>
      <c r="C1276" s="10" t="s">
        <v>5</v>
      </c>
      <c r="D1276" s="10" t="s">
        <v>18</v>
      </c>
      <c r="E1276" s="11" t="s">
        <v>104</v>
      </c>
      <c r="F1276" s="12">
        <v>7850.33</v>
      </c>
      <c r="G1276" s="13" t="s">
        <v>114</v>
      </c>
      <c r="H1276" s="12">
        <f t="shared" si="19"/>
        <v>7850.33</v>
      </c>
    </row>
    <row r="1277" spans="1:8">
      <c r="A1277" s="14">
        <v>1272</v>
      </c>
      <c r="B1277" s="9">
        <v>45692</v>
      </c>
      <c r="C1277" s="10" t="s">
        <v>5</v>
      </c>
      <c r="D1277" s="10" t="s">
        <v>76</v>
      </c>
      <c r="E1277" s="11" t="s">
        <v>99</v>
      </c>
      <c r="F1277" s="12">
        <v>2148.5300000000002</v>
      </c>
      <c r="G1277" s="13" t="s">
        <v>114</v>
      </c>
      <c r="H1277" s="12">
        <f t="shared" si="19"/>
        <v>2148.5300000000002</v>
      </c>
    </row>
    <row r="1278" spans="1:8">
      <c r="A1278" s="14">
        <v>1273</v>
      </c>
      <c r="B1278" s="9">
        <v>45692</v>
      </c>
      <c r="C1278" s="10" t="s">
        <v>5</v>
      </c>
      <c r="D1278" s="10" t="s">
        <v>75</v>
      </c>
      <c r="E1278" s="11" t="s">
        <v>106</v>
      </c>
      <c r="F1278" s="12">
        <v>1172.1600000000001</v>
      </c>
      <c r="G1278" s="13" t="s">
        <v>114</v>
      </c>
      <c r="H1278" s="12">
        <f t="shared" si="19"/>
        <v>1172.1600000000001</v>
      </c>
    </row>
    <row r="1279" spans="1:8">
      <c r="A1279" s="14">
        <v>1274</v>
      </c>
      <c r="B1279" s="9">
        <v>45692</v>
      </c>
      <c r="C1279" s="10" t="s">
        <v>5</v>
      </c>
      <c r="D1279" s="10" t="s">
        <v>76</v>
      </c>
      <c r="E1279" s="11" t="s">
        <v>87</v>
      </c>
      <c r="F1279" s="12">
        <v>516.16</v>
      </c>
      <c r="G1279" s="13" t="s">
        <v>114</v>
      </c>
      <c r="H1279" s="12">
        <f t="shared" si="19"/>
        <v>516.16</v>
      </c>
    </row>
    <row r="1280" spans="1:8">
      <c r="A1280" s="14">
        <v>1275</v>
      </c>
      <c r="B1280" s="9">
        <v>45692</v>
      </c>
      <c r="C1280" s="10" t="s">
        <v>5</v>
      </c>
      <c r="D1280" s="10" t="s">
        <v>76</v>
      </c>
      <c r="E1280" s="11" t="s">
        <v>95</v>
      </c>
      <c r="F1280" s="12">
        <v>3841.43</v>
      </c>
      <c r="G1280" s="13" t="s">
        <v>114</v>
      </c>
      <c r="H1280" s="12">
        <f t="shared" si="19"/>
        <v>3841.43</v>
      </c>
    </row>
    <row r="1281" spans="1:8">
      <c r="A1281" s="14">
        <v>1276</v>
      </c>
      <c r="B1281" s="9">
        <v>45693</v>
      </c>
      <c r="C1281" s="10" t="s">
        <v>5</v>
      </c>
      <c r="D1281" s="10" t="s">
        <v>75</v>
      </c>
      <c r="E1281" s="11" t="s">
        <v>89</v>
      </c>
      <c r="F1281" s="12">
        <v>3810.17</v>
      </c>
      <c r="G1281" s="13" t="s">
        <v>114</v>
      </c>
      <c r="H1281" s="12">
        <f t="shared" si="19"/>
        <v>3810.17</v>
      </c>
    </row>
    <row r="1282" spans="1:8">
      <c r="A1282" s="14">
        <v>1277</v>
      </c>
      <c r="B1282" s="9">
        <v>45693</v>
      </c>
      <c r="C1282" s="10" t="s">
        <v>5</v>
      </c>
      <c r="D1282" s="10" t="s">
        <v>75</v>
      </c>
      <c r="E1282" s="11" t="s">
        <v>111</v>
      </c>
      <c r="F1282" s="12">
        <v>2613.21</v>
      </c>
      <c r="G1282" s="13" t="s">
        <v>114</v>
      </c>
      <c r="H1282" s="12">
        <f t="shared" si="19"/>
        <v>2613.21</v>
      </c>
    </row>
    <row r="1283" spans="1:8">
      <c r="A1283" s="14">
        <v>1278</v>
      </c>
      <c r="B1283" s="9">
        <v>45693</v>
      </c>
      <c r="C1283" s="10" t="s">
        <v>5</v>
      </c>
      <c r="D1283" s="10" t="s">
        <v>75</v>
      </c>
      <c r="E1283" s="11" t="s">
        <v>85</v>
      </c>
      <c r="F1283" s="12">
        <v>5600.41</v>
      </c>
      <c r="G1283" s="13" t="s">
        <v>114</v>
      </c>
      <c r="H1283" s="12">
        <f t="shared" si="19"/>
        <v>5600.41</v>
      </c>
    </row>
    <row r="1284" spans="1:8">
      <c r="A1284" s="14">
        <v>1279</v>
      </c>
      <c r="B1284" s="9">
        <v>45693</v>
      </c>
      <c r="C1284" s="10" t="s">
        <v>5</v>
      </c>
      <c r="D1284" s="10" t="s">
        <v>75</v>
      </c>
      <c r="E1284" s="11" t="s">
        <v>78</v>
      </c>
      <c r="F1284" s="12">
        <v>2859.24</v>
      </c>
      <c r="G1284" s="13" t="s">
        <v>114</v>
      </c>
      <c r="H1284" s="12">
        <f t="shared" si="19"/>
        <v>2859.24</v>
      </c>
    </row>
    <row r="1285" spans="1:8">
      <c r="A1285" s="14">
        <v>1280</v>
      </c>
      <c r="B1285" s="9">
        <v>45694</v>
      </c>
      <c r="C1285" s="10" t="s">
        <v>5</v>
      </c>
      <c r="D1285" s="10" t="s">
        <v>18</v>
      </c>
      <c r="E1285" s="11" t="s">
        <v>98</v>
      </c>
      <c r="F1285" s="12">
        <v>17250.91</v>
      </c>
      <c r="G1285" s="13" t="s">
        <v>114</v>
      </c>
      <c r="H1285" s="12">
        <f t="shared" ref="H1285:H1348" si="20">IF(C1285="Despesa", F1285*-1, F1285)</f>
        <v>17250.91</v>
      </c>
    </row>
    <row r="1286" spans="1:8">
      <c r="A1286" s="14">
        <v>1281</v>
      </c>
      <c r="B1286" s="9">
        <v>45694</v>
      </c>
      <c r="C1286" s="10" t="s">
        <v>5</v>
      </c>
      <c r="D1286" s="10" t="s">
        <v>75</v>
      </c>
      <c r="E1286" s="11" t="s">
        <v>111</v>
      </c>
      <c r="F1286" s="12">
        <v>3303.4</v>
      </c>
      <c r="G1286" s="13" t="s">
        <v>114</v>
      </c>
      <c r="H1286" s="12">
        <f t="shared" si="20"/>
        <v>3303.4</v>
      </c>
    </row>
    <row r="1287" spans="1:8">
      <c r="A1287" s="14">
        <v>1282</v>
      </c>
      <c r="B1287" s="9">
        <v>45695</v>
      </c>
      <c r="C1287" s="10" t="s">
        <v>5</v>
      </c>
      <c r="D1287" s="10" t="s">
        <v>75</v>
      </c>
      <c r="E1287" s="11" t="s">
        <v>82</v>
      </c>
      <c r="F1287" s="12">
        <v>2739.57</v>
      </c>
      <c r="G1287" s="13" t="s">
        <v>114</v>
      </c>
      <c r="H1287" s="12">
        <f t="shared" si="20"/>
        <v>2739.57</v>
      </c>
    </row>
    <row r="1288" spans="1:8">
      <c r="A1288" s="14">
        <v>1283</v>
      </c>
      <c r="B1288" s="9">
        <v>45695</v>
      </c>
      <c r="C1288" s="10" t="s">
        <v>5</v>
      </c>
      <c r="D1288" s="10" t="s">
        <v>75</v>
      </c>
      <c r="E1288" s="11" t="s">
        <v>82</v>
      </c>
      <c r="F1288" s="12">
        <v>1941.93</v>
      </c>
      <c r="G1288" s="13" t="s">
        <v>114</v>
      </c>
      <c r="H1288" s="12">
        <f t="shared" si="20"/>
        <v>1941.93</v>
      </c>
    </row>
    <row r="1289" spans="1:8">
      <c r="A1289" s="14">
        <v>1284</v>
      </c>
      <c r="B1289" s="9">
        <v>45695</v>
      </c>
      <c r="C1289" s="10" t="s">
        <v>5</v>
      </c>
      <c r="D1289" s="10" t="s">
        <v>77</v>
      </c>
      <c r="E1289" s="11" t="s">
        <v>92</v>
      </c>
      <c r="F1289" s="12">
        <v>8631.02</v>
      </c>
      <c r="G1289" s="13" t="s">
        <v>114</v>
      </c>
      <c r="H1289" s="12">
        <f t="shared" si="20"/>
        <v>8631.02</v>
      </c>
    </row>
    <row r="1290" spans="1:8">
      <c r="A1290" s="14">
        <v>1285</v>
      </c>
      <c r="B1290" s="9">
        <v>45695</v>
      </c>
      <c r="C1290" s="10" t="s">
        <v>5</v>
      </c>
      <c r="D1290" s="10" t="s">
        <v>18</v>
      </c>
      <c r="E1290" s="11" t="s">
        <v>104</v>
      </c>
      <c r="F1290" s="12">
        <v>7427.14</v>
      </c>
      <c r="G1290" s="13" t="s">
        <v>114</v>
      </c>
      <c r="H1290" s="12">
        <f t="shared" si="20"/>
        <v>7427.14</v>
      </c>
    </row>
    <row r="1291" spans="1:8">
      <c r="A1291" s="14">
        <v>1286</v>
      </c>
      <c r="B1291" s="9">
        <v>45695</v>
      </c>
      <c r="C1291" s="10" t="s">
        <v>5</v>
      </c>
      <c r="D1291" s="10" t="s">
        <v>76</v>
      </c>
      <c r="E1291" s="11" t="s">
        <v>95</v>
      </c>
      <c r="F1291" s="12">
        <v>4146.8100000000004</v>
      </c>
      <c r="G1291" s="13" t="s">
        <v>114</v>
      </c>
      <c r="H1291" s="12">
        <f t="shared" si="20"/>
        <v>4146.8100000000004</v>
      </c>
    </row>
    <row r="1292" spans="1:8">
      <c r="A1292" s="14">
        <v>1287</v>
      </c>
      <c r="B1292" s="9">
        <v>45697</v>
      </c>
      <c r="C1292" s="10" t="s">
        <v>5</v>
      </c>
      <c r="D1292" s="10" t="s">
        <v>75</v>
      </c>
      <c r="E1292" s="11" t="s">
        <v>101</v>
      </c>
      <c r="F1292" s="12">
        <v>9336.0300000000007</v>
      </c>
      <c r="G1292" s="13" t="s">
        <v>114</v>
      </c>
      <c r="H1292" s="12">
        <f t="shared" si="20"/>
        <v>9336.0300000000007</v>
      </c>
    </row>
    <row r="1293" spans="1:8">
      <c r="A1293" s="14">
        <v>1288</v>
      </c>
      <c r="B1293" s="9">
        <v>45698</v>
      </c>
      <c r="C1293" s="10" t="s">
        <v>5</v>
      </c>
      <c r="D1293" s="10" t="s">
        <v>18</v>
      </c>
      <c r="E1293" s="11" t="s">
        <v>90</v>
      </c>
      <c r="F1293" s="12">
        <v>8944.2800000000007</v>
      </c>
      <c r="G1293" s="13" t="s">
        <v>114</v>
      </c>
      <c r="H1293" s="12">
        <f t="shared" si="20"/>
        <v>8944.2800000000007</v>
      </c>
    </row>
    <row r="1294" spans="1:8">
      <c r="A1294" s="14">
        <v>1289</v>
      </c>
      <c r="B1294" s="9">
        <v>45698</v>
      </c>
      <c r="C1294" s="10" t="s">
        <v>5</v>
      </c>
      <c r="D1294" s="10" t="s">
        <v>18</v>
      </c>
      <c r="E1294" s="11" t="s">
        <v>94</v>
      </c>
      <c r="F1294" s="12">
        <v>8189.7</v>
      </c>
      <c r="G1294" s="13" t="s">
        <v>114</v>
      </c>
      <c r="H1294" s="12">
        <f t="shared" si="20"/>
        <v>8189.7</v>
      </c>
    </row>
    <row r="1295" spans="1:8">
      <c r="A1295" s="14">
        <v>1290</v>
      </c>
      <c r="B1295" s="9">
        <v>45698</v>
      </c>
      <c r="C1295" s="10" t="s">
        <v>5</v>
      </c>
      <c r="D1295" s="10" t="s">
        <v>76</v>
      </c>
      <c r="E1295" s="11" t="s">
        <v>99</v>
      </c>
      <c r="F1295" s="12">
        <v>2312.17</v>
      </c>
      <c r="G1295" s="13" t="s">
        <v>114</v>
      </c>
      <c r="H1295" s="12">
        <f t="shared" si="20"/>
        <v>2312.17</v>
      </c>
    </row>
    <row r="1296" spans="1:8">
      <c r="A1296" s="14">
        <v>1291</v>
      </c>
      <c r="B1296" s="9">
        <v>45698</v>
      </c>
      <c r="C1296" s="10" t="s">
        <v>5</v>
      </c>
      <c r="D1296" s="10" t="s">
        <v>77</v>
      </c>
      <c r="E1296" s="11" t="s">
        <v>88</v>
      </c>
      <c r="F1296" s="12">
        <v>4151.2299999999996</v>
      </c>
      <c r="G1296" s="13" t="s">
        <v>114</v>
      </c>
      <c r="H1296" s="12">
        <f t="shared" si="20"/>
        <v>4151.2299999999996</v>
      </c>
    </row>
    <row r="1297" spans="1:8">
      <c r="A1297" s="14">
        <v>1292</v>
      </c>
      <c r="B1297" s="9">
        <v>45698</v>
      </c>
      <c r="C1297" s="10" t="s">
        <v>5</v>
      </c>
      <c r="D1297" s="10" t="s">
        <v>75</v>
      </c>
      <c r="E1297" s="11" t="s">
        <v>78</v>
      </c>
      <c r="F1297" s="12">
        <v>2373.3000000000002</v>
      </c>
      <c r="G1297" s="13" t="s">
        <v>114</v>
      </c>
      <c r="H1297" s="12">
        <f t="shared" si="20"/>
        <v>2373.3000000000002</v>
      </c>
    </row>
    <row r="1298" spans="1:8">
      <c r="A1298" s="14">
        <v>1293</v>
      </c>
      <c r="B1298" s="9">
        <v>45699</v>
      </c>
      <c r="C1298" s="10" t="s">
        <v>5</v>
      </c>
      <c r="D1298" s="10" t="s">
        <v>75</v>
      </c>
      <c r="E1298" s="11" t="s">
        <v>97</v>
      </c>
      <c r="F1298" s="12">
        <v>2552.09</v>
      </c>
      <c r="G1298" s="13" t="s">
        <v>114</v>
      </c>
      <c r="H1298" s="12">
        <f t="shared" si="20"/>
        <v>2552.09</v>
      </c>
    </row>
    <row r="1299" spans="1:8">
      <c r="A1299" s="14">
        <v>1294</v>
      </c>
      <c r="B1299" s="9">
        <v>45699</v>
      </c>
      <c r="C1299" s="10" t="s">
        <v>5</v>
      </c>
      <c r="D1299" s="10" t="s">
        <v>75</v>
      </c>
      <c r="E1299" s="11" t="s">
        <v>93</v>
      </c>
      <c r="F1299" s="12">
        <v>2244.39</v>
      </c>
      <c r="G1299" s="13" t="s">
        <v>114</v>
      </c>
      <c r="H1299" s="12">
        <f t="shared" si="20"/>
        <v>2244.39</v>
      </c>
    </row>
    <row r="1300" spans="1:8">
      <c r="A1300" s="14">
        <v>1295</v>
      </c>
      <c r="B1300" s="9">
        <v>45699</v>
      </c>
      <c r="C1300" s="10" t="s">
        <v>5</v>
      </c>
      <c r="D1300" s="10" t="s">
        <v>75</v>
      </c>
      <c r="E1300" s="11" t="s">
        <v>82</v>
      </c>
      <c r="F1300" s="12">
        <v>2980.77</v>
      </c>
      <c r="G1300" s="13" t="s">
        <v>114</v>
      </c>
      <c r="H1300" s="12">
        <f t="shared" si="20"/>
        <v>2980.77</v>
      </c>
    </row>
    <row r="1301" spans="1:8">
      <c r="A1301" s="14">
        <v>1296</v>
      </c>
      <c r="B1301" s="9">
        <v>45700</v>
      </c>
      <c r="C1301" s="10" t="s">
        <v>5</v>
      </c>
      <c r="D1301" s="10" t="s">
        <v>18</v>
      </c>
      <c r="E1301" s="11" t="s">
        <v>90</v>
      </c>
      <c r="F1301" s="12">
        <v>4163.2700000000004</v>
      </c>
      <c r="G1301" s="13" t="s">
        <v>114</v>
      </c>
      <c r="H1301" s="12">
        <f t="shared" si="20"/>
        <v>4163.2700000000004</v>
      </c>
    </row>
    <row r="1302" spans="1:8">
      <c r="A1302" s="14">
        <v>1297</v>
      </c>
      <c r="B1302" s="9">
        <v>45700</v>
      </c>
      <c r="C1302" s="10" t="s">
        <v>5</v>
      </c>
      <c r="D1302" s="10" t="s">
        <v>18</v>
      </c>
      <c r="E1302" s="11" t="s">
        <v>90</v>
      </c>
      <c r="F1302" s="12">
        <v>12262.99</v>
      </c>
      <c r="G1302" s="13" t="s">
        <v>114</v>
      </c>
      <c r="H1302" s="12">
        <f t="shared" si="20"/>
        <v>12262.99</v>
      </c>
    </row>
    <row r="1303" spans="1:8">
      <c r="A1303" s="14">
        <v>1298</v>
      </c>
      <c r="B1303" s="9">
        <v>45700</v>
      </c>
      <c r="C1303" s="10" t="s">
        <v>5</v>
      </c>
      <c r="D1303" s="10" t="s">
        <v>76</v>
      </c>
      <c r="E1303" s="11" t="s">
        <v>87</v>
      </c>
      <c r="F1303" s="12">
        <v>2209.4</v>
      </c>
      <c r="G1303" s="13" t="s">
        <v>114</v>
      </c>
      <c r="H1303" s="12">
        <f t="shared" si="20"/>
        <v>2209.4</v>
      </c>
    </row>
    <row r="1304" spans="1:8">
      <c r="A1304" s="14">
        <v>1299</v>
      </c>
      <c r="B1304" s="9">
        <v>45701</v>
      </c>
      <c r="C1304" s="10" t="s">
        <v>5</v>
      </c>
      <c r="D1304" s="10" t="s">
        <v>76</v>
      </c>
      <c r="E1304" s="11" t="s">
        <v>102</v>
      </c>
      <c r="F1304" s="12">
        <v>8587.5300000000007</v>
      </c>
      <c r="G1304" s="13" t="s">
        <v>114</v>
      </c>
      <c r="H1304" s="12">
        <f t="shared" si="20"/>
        <v>8587.5300000000007</v>
      </c>
    </row>
    <row r="1305" spans="1:8">
      <c r="A1305" s="14">
        <v>1300</v>
      </c>
      <c r="B1305" s="9">
        <v>45701</v>
      </c>
      <c r="C1305" s="10" t="s">
        <v>5</v>
      </c>
      <c r="D1305" s="10" t="s">
        <v>76</v>
      </c>
      <c r="E1305" s="11" t="s">
        <v>102</v>
      </c>
      <c r="F1305" s="12">
        <v>2188.96</v>
      </c>
      <c r="G1305" s="13" t="s">
        <v>114</v>
      </c>
      <c r="H1305" s="12">
        <f t="shared" si="20"/>
        <v>2188.96</v>
      </c>
    </row>
    <row r="1306" spans="1:8">
      <c r="A1306" s="14">
        <v>1301</v>
      </c>
      <c r="B1306" s="9">
        <v>45702</v>
      </c>
      <c r="C1306" s="10" t="s">
        <v>5</v>
      </c>
      <c r="D1306" s="10" t="s">
        <v>75</v>
      </c>
      <c r="E1306" s="11" t="s">
        <v>85</v>
      </c>
      <c r="F1306" s="12">
        <v>3830.91</v>
      </c>
      <c r="G1306" s="13" t="s">
        <v>114</v>
      </c>
      <c r="H1306" s="12">
        <f t="shared" si="20"/>
        <v>3830.91</v>
      </c>
    </row>
    <row r="1307" spans="1:8">
      <c r="A1307" s="14">
        <v>1302</v>
      </c>
      <c r="B1307" s="9">
        <v>45702</v>
      </c>
      <c r="C1307" s="10" t="s">
        <v>5</v>
      </c>
      <c r="D1307" s="10" t="s">
        <v>76</v>
      </c>
      <c r="E1307" s="11" t="s">
        <v>87</v>
      </c>
      <c r="F1307" s="12">
        <v>812.04</v>
      </c>
      <c r="G1307" s="13" t="s">
        <v>114</v>
      </c>
      <c r="H1307" s="12">
        <f t="shared" si="20"/>
        <v>812.04</v>
      </c>
    </row>
    <row r="1308" spans="1:8">
      <c r="A1308" s="14">
        <v>1303</v>
      </c>
      <c r="B1308" s="9">
        <v>45702</v>
      </c>
      <c r="C1308" s="10" t="s">
        <v>5</v>
      </c>
      <c r="D1308" s="10" t="s">
        <v>75</v>
      </c>
      <c r="E1308" s="11" t="s">
        <v>78</v>
      </c>
      <c r="F1308" s="12">
        <v>6851.16</v>
      </c>
      <c r="G1308" s="13" t="s">
        <v>114</v>
      </c>
      <c r="H1308" s="12">
        <f t="shared" si="20"/>
        <v>6851.16</v>
      </c>
    </row>
    <row r="1309" spans="1:8">
      <c r="A1309" s="14">
        <v>1304</v>
      </c>
      <c r="B1309" s="9">
        <v>45702</v>
      </c>
      <c r="C1309" s="10" t="s">
        <v>5</v>
      </c>
      <c r="D1309" s="10" t="s">
        <v>75</v>
      </c>
      <c r="E1309" s="11" t="s">
        <v>89</v>
      </c>
      <c r="F1309" s="12">
        <v>6160.63</v>
      </c>
      <c r="G1309" s="13" t="s">
        <v>114</v>
      </c>
      <c r="H1309" s="12">
        <f t="shared" si="20"/>
        <v>6160.63</v>
      </c>
    </row>
    <row r="1310" spans="1:8">
      <c r="A1310" s="14">
        <v>1305</v>
      </c>
      <c r="B1310" s="9">
        <v>45702</v>
      </c>
      <c r="C1310" s="10" t="s">
        <v>5</v>
      </c>
      <c r="D1310" s="10" t="s">
        <v>76</v>
      </c>
      <c r="E1310" s="11" t="s">
        <v>87</v>
      </c>
      <c r="F1310" s="12">
        <v>1075.1500000000001</v>
      </c>
      <c r="G1310" s="13" t="s">
        <v>114</v>
      </c>
      <c r="H1310" s="12">
        <f t="shared" si="20"/>
        <v>1075.1500000000001</v>
      </c>
    </row>
    <row r="1311" spans="1:8">
      <c r="A1311" s="14">
        <v>1306</v>
      </c>
      <c r="B1311" s="9">
        <v>45702</v>
      </c>
      <c r="C1311" s="10" t="s">
        <v>5</v>
      </c>
      <c r="D1311" s="10" t="s">
        <v>76</v>
      </c>
      <c r="E1311" s="11" t="s">
        <v>87</v>
      </c>
      <c r="F1311" s="12">
        <v>860.52</v>
      </c>
      <c r="G1311" s="13" t="s">
        <v>114</v>
      </c>
      <c r="H1311" s="12">
        <f t="shared" si="20"/>
        <v>860.52</v>
      </c>
    </row>
    <row r="1312" spans="1:8">
      <c r="A1312" s="14">
        <v>1307</v>
      </c>
      <c r="B1312" s="9">
        <v>45706</v>
      </c>
      <c r="C1312" s="10" t="s">
        <v>5</v>
      </c>
      <c r="D1312" s="10" t="s">
        <v>75</v>
      </c>
      <c r="E1312" s="11" t="s">
        <v>93</v>
      </c>
      <c r="F1312" s="12">
        <v>1654.57</v>
      </c>
      <c r="G1312" s="13" t="s">
        <v>114</v>
      </c>
      <c r="H1312" s="12">
        <f t="shared" si="20"/>
        <v>1654.57</v>
      </c>
    </row>
    <row r="1313" spans="1:8">
      <c r="A1313" s="14">
        <v>1308</v>
      </c>
      <c r="B1313" s="9">
        <v>45706</v>
      </c>
      <c r="C1313" s="10" t="s">
        <v>5</v>
      </c>
      <c r="D1313" s="10" t="s">
        <v>76</v>
      </c>
      <c r="E1313" s="11" t="s">
        <v>91</v>
      </c>
      <c r="F1313" s="12">
        <v>10085.040000000001</v>
      </c>
      <c r="G1313" s="13" t="s">
        <v>114</v>
      </c>
      <c r="H1313" s="12">
        <f t="shared" si="20"/>
        <v>10085.040000000001</v>
      </c>
    </row>
    <row r="1314" spans="1:8">
      <c r="A1314" s="14">
        <v>1309</v>
      </c>
      <c r="B1314" s="9">
        <v>45706</v>
      </c>
      <c r="C1314" s="10" t="s">
        <v>5</v>
      </c>
      <c r="D1314" s="10" t="s">
        <v>75</v>
      </c>
      <c r="E1314" s="11" t="s">
        <v>106</v>
      </c>
      <c r="F1314" s="12">
        <v>2668.7</v>
      </c>
      <c r="G1314" s="13" t="s">
        <v>114</v>
      </c>
      <c r="H1314" s="12">
        <f t="shared" si="20"/>
        <v>2668.7</v>
      </c>
    </row>
    <row r="1315" spans="1:8">
      <c r="A1315" s="14">
        <v>1310</v>
      </c>
      <c r="B1315" s="9">
        <v>45706</v>
      </c>
      <c r="C1315" s="10" t="s">
        <v>5</v>
      </c>
      <c r="D1315" s="10" t="s">
        <v>76</v>
      </c>
      <c r="E1315" s="11" t="s">
        <v>87</v>
      </c>
      <c r="F1315" s="12">
        <v>1602.14</v>
      </c>
      <c r="G1315" s="13" t="s">
        <v>114</v>
      </c>
      <c r="H1315" s="12">
        <f t="shared" si="20"/>
        <v>1602.14</v>
      </c>
    </row>
    <row r="1316" spans="1:8">
      <c r="A1316" s="14">
        <v>1311</v>
      </c>
      <c r="B1316" s="9">
        <v>45707</v>
      </c>
      <c r="C1316" s="10" t="s">
        <v>5</v>
      </c>
      <c r="D1316" s="10" t="s">
        <v>75</v>
      </c>
      <c r="E1316" s="11" t="s">
        <v>97</v>
      </c>
      <c r="F1316" s="12">
        <v>2673.99</v>
      </c>
      <c r="G1316" s="13" t="s">
        <v>114</v>
      </c>
      <c r="H1316" s="12">
        <f t="shared" si="20"/>
        <v>2673.99</v>
      </c>
    </row>
    <row r="1317" spans="1:8">
      <c r="A1317" s="14">
        <v>1312</v>
      </c>
      <c r="B1317" s="9">
        <v>45707</v>
      </c>
      <c r="C1317" s="10" t="s">
        <v>5</v>
      </c>
      <c r="D1317" s="10" t="s">
        <v>75</v>
      </c>
      <c r="E1317" s="11" t="s">
        <v>101</v>
      </c>
      <c r="F1317" s="12">
        <v>9654.6</v>
      </c>
      <c r="G1317" s="13" t="s">
        <v>114</v>
      </c>
      <c r="H1317" s="12">
        <f t="shared" si="20"/>
        <v>9654.6</v>
      </c>
    </row>
    <row r="1318" spans="1:8">
      <c r="A1318" s="14">
        <v>1313</v>
      </c>
      <c r="B1318" s="9">
        <v>45707</v>
      </c>
      <c r="C1318" s="10" t="s">
        <v>5</v>
      </c>
      <c r="D1318" s="10" t="s">
        <v>75</v>
      </c>
      <c r="E1318" s="11" t="s">
        <v>101</v>
      </c>
      <c r="F1318" s="12">
        <v>6919.92</v>
      </c>
      <c r="G1318" s="13" t="s">
        <v>114</v>
      </c>
      <c r="H1318" s="12">
        <f t="shared" si="20"/>
        <v>6919.92</v>
      </c>
    </row>
    <row r="1319" spans="1:8">
      <c r="A1319" s="14">
        <v>1314</v>
      </c>
      <c r="B1319" s="9">
        <v>45707</v>
      </c>
      <c r="C1319" s="10" t="s">
        <v>5</v>
      </c>
      <c r="D1319" s="10" t="s">
        <v>75</v>
      </c>
      <c r="E1319" s="11" t="s">
        <v>97</v>
      </c>
      <c r="F1319" s="12">
        <v>2895.39</v>
      </c>
      <c r="G1319" s="13" t="s">
        <v>114</v>
      </c>
      <c r="H1319" s="12">
        <f t="shared" si="20"/>
        <v>2895.39</v>
      </c>
    </row>
    <row r="1320" spans="1:8">
      <c r="A1320" s="14">
        <v>1315</v>
      </c>
      <c r="B1320" s="9">
        <v>45707</v>
      </c>
      <c r="C1320" s="10" t="s">
        <v>5</v>
      </c>
      <c r="D1320" s="10" t="s">
        <v>76</v>
      </c>
      <c r="E1320" s="11" t="s">
        <v>80</v>
      </c>
      <c r="F1320" s="12">
        <v>2281.3000000000002</v>
      </c>
      <c r="G1320" s="13" t="s">
        <v>114</v>
      </c>
      <c r="H1320" s="12">
        <f t="shared" si="20"/>
        <v>2281.3000000000002</v>
      </c>
    </row>
    <row r="1321" spans="1:8">
      <c r="A1321" s="14">
        <v>1316</v>
      </c>
      <c r="B1321" s="9">
        <v>45707</v>
      </c>
      <c r="C1321" s="10" t="s">
        <v>5</v>
      </c>
      <c r="D1321" s="10" t="s">
        <v>18</v>
      </c>
      <c r="E1321" s="11" t="s">
        <v>104</v>
      </c>
      <c r="F1321" s="12">
        <v>4505.37</v>
      </c>
      <c r="G1321" s="13" t="s">
        <v>114</v>
      </c>
      <c r="H1321" s="12">
        <f t="shared" si="20"/>
        <v>4505.37</v>
      </c>
    </row>
    <row r="1322" spans="1:8">
      <c r="A1322" s="14">
        <v>1317</v>
      </c>
      <c r="B1322" s="9">
        <v>45708</v>
      </c>
      <c r="C1322" s="10" t="s">
        <v>5</v>
      </c>
      <c r="D1322" s="10" t="s">
        <v>75</v>
      </c>
      <c r="E1322" s="11" t="s">
        <v>85</v>
      </c>
      <c r="F1322" s="12">
        <v>8181.12</v>
      </c>
      <c r="G1322" s="13" t="s">
        <v>114</v>
      </c>
      <c r="H1322" s="12">
        <f t="shared" si="20"/>
        <v>8181.12</v>
      </c>
    </row>
    <row r="1323" spans="1:8">
      <c r="A1323" s="14">
        <v>1318</v>
      </c>
      <c r="B1323" s="9">
        <v>45708</v>
      </c>
      <c r="C1323" s="10" t="s">
        <v>5</v>
      </c>
      <c r="D1323" s="10" t="s">
        <v>75</v>
      </c>
      <c r="E1323" s="11" t="s">
        <v>93</v>
      </c>
      <c r="F1323" s="12">
        <v>7279.06</v>
      </c>
      <c r="G1323" s="13" t="s">
        <v>114</v>
      </c>
      <c r="H1323" s="12">
        <f t="shared" si="20"/>
        <v>7279.06</v>
      </c>
    </row>
    <row r="1324" spans="1:8">
      <c r="A1324" s="14">
        <v>1319</v>
      </c>
      <c r="B1324" s="9">
        <v>45709</v>
      </c>
      <c r="C1324" s="10" t="s">
        <v>5</v>
      </c>
      <c r="D1324" s="10" t="s">
        <v>75</v>
      </c>
      <c r="E1324" s="11" t="s">
        <v>78</v>
      </c>
      <c r="F1324" s="12">
        <v>3119.01</v>
      </c>
      <c r="G1324" s="13" t="s">
        <v>114</v>
      </c>
      <c r="H1324" s="12">
        <f t="shared" si="20"/>
        <v>3119.01</v>
      </c>
    </row>
    <row r="1325" spans="1:8">
      <c r="A1325" s="14">
        <v>1320</v>
      </c>
      <c r="B1325" s="9">
        <v>45710</v>
      </c>
      <c r="C1325" s="10" t="s">
        <v>5</v>
      </c>
      <c r="D1325" s="10" t="s">
        <v>75</v>
      </c>
      <c r="E1325" s="11" t="s">
        <v>82</v>
      </c>
      <c r="F1325" s="12">
        <v>7346.17</v>
      </c>
      <c r="G1325" s="13" t="s">
        <v>114</v>
      </c>
      <c r="H1325" s="12">
        <f t="shared" si="20"/>
        <v>7346.17</v>
      </c>
    </row>
    <row r="1326" spans="1:8">
      <c r="A1326" s="14">
        <v>1321</v>
      </c>
      <c r="B1326" s="9">
        <v>45710</v>
      </c>
      <c r="C1326" s="10" t="s">
        <v>5</v>
      </c>
      <c r="D1326" s="10" t="s">
        <v>75</v>
      </c>
      <c r="E1326" s="11" t="s">
        <v>85</v>
      </c>
      <c r="F1326" s="12">
        <v>3999.34</v>
      </c>
      <c r="G1326" s="13" t="s">
        <v>114</v>
      </c>
      <c r="H1326" s="12">
        <f t="shared" si="20"/>
        <v>3999.34</v>
      </c>
    </row>
    <row r="1327" spans="1:8">
      <c r="A1327" s="14">
        <v>1322</v>
      </c>
      <c r="B1327" s="9">
        <v>45711</v>
      </c>
      <c r="C1327" s="10" t="s">
        <v>5</v>
      </c>
      <c r="D1327" s="10" t="s">
        <v>77</v>
      </c>
      <c r="E1327" s="11" t="s">
        <v>109</v>
      </c>
      <c r="F1327" s="12">
        <v>6553.54</v>
      </c>
      <c r="G1327" s="13" t="s">
        <v>114</v>
      </c>
      <c r="H1327" s="12">
        <f t="shared" si="20"/>
        <v>6553.54</v>
      </c>
    </row>
    <row r="1328" spans="1:8">
      <c r="A1328" s="14">
        <v>1323</v>
      </c>
      <c r="B1328" s="9">
        <v>45712</v>
      </c>
      <c r="C1328" s="10" t="s">
        <v>5</v>
      </c>
      <c r="D1328" s="10" t="s">
        <v>75</v>
      </c>
      <c r="E1328" s="11" t="s">
        <v>101</v>
      </c>
      <c r="F1328" s="12">
        <v>4769.47</v>
      </c>
      <c r="G1328" s="13" t="s">
        <v>114</v>
      </c>
      <c r="H1328" s="12">
        <f t="shared" si="20"/>
        <v>4769.47</v>
      </c>
    </row>
    <row r="1329" spans="1:8">
      <c r="A1329" s="14">
        <v>1324</v>
      </c>
      <c r="B1329" s="9">
        <v>45713</v>
      </c>
      <c r="C1329" s="10" t="s">
        <v>5</v>
      </c>
      <c r="D1329" s="10" t="s">
        <v>75</v>
      </c>
      <c r="E1329" s="11" t="s">
        <v>78</v>
      </c>
      <c r="F1329" s="12">
        <v>5396.97</v>
      </c>
      <c r="G1329" s="13" t="s">
        <v>114</v>
      </c>
      <c r="H1329" s="12">
        <f t="shared" si="20"/>
        <v>5396.97</v>
      </c>
    </row>
    <row r="1330" spans="1:8">
      <c r="A1330" s="14">
        <v>1325</v>
      </c>
      <c r="B1330" s="9">
        <v>45713</v>
      </c>
      <c r="C1330" s="10" t="s">
        <v>5</v>
      </c>
      <c r="D1330" s="10" t="s">
        <v>76</v>
      </c>
      <c r="E1330" s="11" t="s">
        <v>80</v>
      </c>
      <c r="F1330" s="12">
        <v>8006</v>
      </c>
      <c r="G1330" s="13" t="s">
        <v>114</v>
      </c>
      <c r="H1330" s="12">
        <f t="shared" si="20"/>
        <v>8006</v>
      </c>
    </row>
    <row r="1331" spans="1:8">
      <c r="A1331" s="14">
        <v>1326</v>
      </c>
      <c r="B1331" s="9">
        <v>45713</v>
      </c>
      <c r="C1331" s="10" t="s">
        <v>5</v>
      </c>
      <c r="D1331" s="10" t="s">
        <v>75</v>
      </c>
      <c r="E1331" s="11" t="s">
        <v>93</v>
      </c>
      <c r="F1331" s="12">
        <v>4576.8500000000004</v>
      </c>
      <c r="G1331" s="13" t="s">
        <v>114</v>
      </c>
      <c r="H1331" s="12">
        <f t="shared" si="20"/>
        <v>4576.8500000000004</v>
      </c>
    </row>
    <row r="1332" spans="1:8">
      <c r="A1332" s="14">
        <v>1327</v>
      </c>
      <c r="B1332" s="9">
        <v>45713</v>
      </c>
      <c r="C1332" s="10" t="s">
        <v>5</v>
      </c>
      <c r="D1332" s="10" t="s">
        <v>18</v>
      </c>
      <c r="E1332" s="11" t="s">
        <v>86</v>
      </c>
      <c r="F1332" s="12">
        <v>13702.61</v>
      </c>
      <c r="G1332" s="13" t="s">
        <v>114</v>
      </c>
      <c r="H1332" s="12">
        <f t="shared" si="20"/>
        <v>13702.61</v>
      </c>
    </row>
    <row r="1333" spans="1:8">
      <c r="A1333" s="14">
        <v>1328</v>
      </c>
      <c r="B1333" s="9">
        <v>45714</v>
      </c>
      <c r="C1333" s="10" t="s">
        <v>5</v>
      </c>
      <c r="D1333" s="10" t="s">
        <v>75</v>
      </c>
      <c r="E1333" s="11" t="s">
        <v>85</v>
      </c>
      <c r="F1333" s="12">
        <v>3868.23</v>
      </c>
      <c r="G1333" s="13" t="s">
        <v>114</v>
      </c>
      <c r="H1333" s="12">
        <f t="shared" si="20"/>
        <v>3868.23</v>
      </c>
    </row>
    <row r="1334" spans="1:8">
      <c r="A1334" s="14">
        <v>1329</v>
      </c>
      <c r="B1334" s="9">
        <v>45714</v>
      </c>
      <c r="C1334" s="10" t="s">
        <v>5</v>
      </c>
      <c r="D1334" s="10" t="s">
        <v>75</v>
      </c>
      <c r="E1334" s="11" t="s">
        <v>106</v>
      </c>
      <c r="F1334" s="12">
        <v>4594.6000000000004</v>
      </c>
      <c r="G1334" s="13" t="s">
        <v>114</v>
      </c>
      <c r="H1334" s="12">
        <f t="shared" si="20"/>
        <v>4594.6000000000004</v>
      </c>
    </row>
    <row r="1335" spans="1:8">
      <c r="A1335" s="14">
        <v>1330</v>
      </c>
      <c r="B1335" s="9">
        <v>45714</v>
      </c>
      <c r="C1335" s="10" t="s">
        <v>5</v>
      </c>
      <c r="D1335" s="10" t="s">
        <v>75</v>
      </c>
      <c r="E1335" s="11" t="s">
        <v>78</v>
      </c>
      <c r="F1335" s="12">
        <v>5875.97</v>
      </c>
      <c r="G1335" s="13" t="s">
        <v>114</v>
      </c>
      <c r="H1335" s="12">
        <f t="shared" si="20"/>
        <v>5875.97</v>
      </c>
    </row>
    <row r="1336" spans="1:8">
      <c r="A1336" s="14">
        <v>1331</v>
      </c>
      <c r="B1336" s="9">
        <v>45715</v>
      </c>
      <c r="C1336" s="10" t="s">
        <v>5</v>
      </c>
      <c r="D1336" s="10" t="s">
        <v>76</v>
      </c>
      <c r="E1336" s="11" t="s">
        <v>102</v>
      </c>
      <c r="F1336" s="12">
        <v>8771.17</v>
      </c>
      <c r="G1336" s="13" t="s">
        <v>114</v>
      </c>
      <c r="H1336" s="12">
        <f t="shared" si="20"/>
        <v>8771.17</v>
      </c>
    </row>
    <row r="1337" spans="1:8">
      <c r="A1337" s="14">
        <v>1332</v>
      </c>
      <c r="B1337" s="9">
        <v>45715</v>
      </c>
      <c r="C1337" s="10" t="s">
        <v>5</v>
      </c>
      <c r="D1337" s="10" t="s">
        <v>75</v>
      </c>
      <c r="E1337" s="11" t="s">
        <v>101</v>
      </c>
      <c r="F1337" s="12">
        <v>14368.22</v>
      </c>
      <c r="G1337" s="13" t="s">
        <v>114</v>
      </c>
      <c r="H1337" s="12">
        <f t="shared" si="20"/>
        <v>14368.22</v>
      </c>
    </row>
    <row r="1338" spans="1:8">
      <c r="A1338" s="14">
        <v>1333</v>
      </c>
      <c r="B1338" s="9">
        <v>45716</v>
      </c>
      <c r="C1338" s="10" t="s">
        <v>5</v>
      </c>
      <c r="D1338" s="10" t="s">
        <v>76</v>
      </c>
      <c r="E1338" s="11" t="s">
        <v>102</v>
      </c>
      <c r="F1338" s="12">
        <v>5714.2</v>
      </c>
      <c r="G1338" s="13" t="s">
        <v>114</v>
      </c>
      <c r="H1338" s="12">
        <f t="shared" si="20"/>
        <v>5714.2</v>
      </c>
    </row>
    <row r="1339" spans="1:8">
      <c r="A1339" s="14">
        <v>1334</v>
      </c>
      <c r="B1339" s="9">
        <v>45716</v>
      </c>
      <c r="C1339" s="10" t="s">
        <v>5</v>
      </c>
      <c r="D1339" s="10" t="s">
        <v>75</v>
      </c>
      <c r="E1339" s="11" t="s">
        <v>82</v>
      </c>
      <c r="F1339" s="12">
        <v>3599.3</v>
      </c>
      <c r="G1339" s="13" t="s">
        <v>114</v>
      </c>
      <c r="H1339" s="12">
        <f t="shared" si="20"/>
        <v>3599.3</v>
      </c>
    </row>
    <row r="1340" spans="1:8">
      <c r="A1340" s="14">
        <v>1335</v>
      </c>
      <c r="B1340" s="9">
        <v>45716</v>
      </c>
      <c r="C1340" s="10" t="s">
        <v>5</v>
      </c>
      <c r="D1340" s="10" t="s">
        <v>18</v>
      </c>
      <c r="E1340" s="11" t="s">
        <v>79</v>
      </c>
      <c r="F1340" s="12">
        <v>9824.9500000000007</v>
      </c>
      <c r="G1340" s="13" t="s">
        <v>114</v>
      </c>
      <c r="H1340" s="12">
        <f t="shared" si="20"/>
        <v>9824.9500000000007</v>
      </c>
    </row>
    <row r="1341" spans="1:8">
      <c r="A1341" s="14">
        <v>1336</v>
      </c>
      <c r="B1341" s="9">
        <v>45716</v>
      </c>
      <c r="C1341" s="10" t="s">
        <v>5</v>
      </c>
      <c r="D1341" s="10" t="s">
        <v>76</v>
      </c>
      <c r="E1341" s="11" t="s">
        <v>99</v>
      </c>
      <c r="F1341" s="12">
        <v>4778.16</v>
      </c>
      <c r="G1341" s="13" t="s">
        <v>114</v>
      </c>
      <c r="H1341" s="12">
        <f t="shared" si="20"/>
        <v>4778.16</v>
      </c>
    </row>
    <row r="1342" spans="1:8">
      <c r="A1342" s="14">
        <v>1337</v>
      </c>
      <c r="B1342" s="9">
        <v>45717</v>
      </c>
      <c r="C1342" s="10" t="s">
        <v>5</v>
      </c>
      <c r="D1342" s="10" t="s">
        <v>75</v>
      </c>
      <c r="E1342" s="11" t="s">
        <v>97</v>
      </c>
      <c r="F1342" s="12">
        <v>1426</v>
      </c>
      <c r="G1342" s="13" t="s">
        <v>114</v>
      </c>
      <c r="H1342" s="12">
        <f t="shared" si="20"/>
        <v>1426</v>
      </c>
    </row>
    <row r="1343" spans="1:8">
      <c r="A1343" s="14">
        <v>1338</v>
      </c>
      <c r="B1343" s="9">
        <v>45719</v>
      </c>
      <c r="C1343" s="10" t="s">
        <v>5</v>
      </c>
      <c r="D1343" s="10" t="s">
        <v>75</v>
      </c>
      <c r="E1343" s="11" t="s">
        <v>78</v>
      </c>
      <c r="F1343" s="12">
        <v>4269.2299999999996</v>
      </c>
      <c r="G1343" s="13" t="s">
        <v>114</v>
      </c>
      <c r="H1343" s="12">
        <f t="shared" si="20"/>
        <v>4269.2299999999996</v>
      </c>
    </row>
    <row r="1344" spans="1:8">
      <c r="A1344" s="14">
        <v>1339</v>
      </c>
      <c r="B1344" s="9">
        <v>45719</v>
      </c>
      <c r="C1344" s="10" t="s">
        <v>5</v>
      </c>
      <c r="D1344" s="10" t="s">
        <v>75</v>
      </c>
      <c r="E1344" s="11" t="s">
        <v>78</v>
      </c>
      <c r="F1344" s="12">
        <v>6265.19</v>
      </c>
      <c r="G1344" s="13" t="s">
        <v>114</v>
      </c>
      <c r="H1344" s="12">
        <f t="shared" si="20"/>
        <v>6265.19</v>
      </c>
    </row>
    <row r="1345" spans="1:8">
      <c r="A1345" s="14">
        <v>1340</v>
      </c>
      <c r="B1345" s="9">
        <v>45719</v>
      </c>
      <c r="C1345" s="10" t="s">
        <v>5</v>
      </c>
      <c r="D1345" s="10" t="s">
        <v>76</v>
      </c>
      <c r="E1345" s="11" t="s">
        <v>80</v>
      </c>
      <c r="F1345" s="12">
        <v>5796.6</v>
      </c>
      <c r="G1345" s="13" t="s">
        <v>114</v>
      </c>
      <c r="H1345" s="12">
        <f t="shared" si="20"/>
        <v>5796.6</v>
      </c>
    </row>
    <row r="1346" spans="1:8">
      <c r="A1346" s="14">
        <v>1341</v>
      </c>
      <c r="B1346" s="9">
        <v>45719</v>
      </c>
      <c r="C1346" s="10" t="s">
        <v>5</v>
      </c>
      <c r="D1346" s="10" t="s">
        <v>75</v>
      </c>
      <c r="E1346" s="11" t="s">
        <v>111</v>
      </c>
      <c r="F1346" s="12">
        <v>3071.5</v>
      </c>
      <c r="G1346" s="13" t="s">
        <v>114</v>
      </c>
      <c r="H1346" s="12">
        <f t="shared" si="20"/>
        <v>3071.5</v>
      </c>
    </row>
    <row r="1347" spans="1:8">
      <c r="A1347" s="14">
        <v>1342</v>
      </c>
      <c r="B1347" s="9">
        <v>45719</v>
      </c>
      <c r="C1347" s="10" t="s">
        <v>5</v>
      </c>
      <c r="D1347" s="10" t="s">
        <v>75</v>
      </c>
      <c r="E1347" s="11" t="s">
        <v>78</v>
      </c>
      <c r="F1347" s="12">
        <v>7969.26</v>
      </c>
      <c r="G1347" s="13" t="s">
        <v>114</v>
      </c>
      <c r="H1347" s="12">
        <f t="shared" si="20"/>
        <v>7969.26</v>
      </c>
    </row>
    <row r="1348" spans="1:8">
      <c r="A1348" s="14">
        <v>1343</v>
      </c>
      <c r="B1348" s="9">
        <v>45719</v>
      </c>
      <c r="C1348" s="10" t="s">
        <v>5</v>
      </c>
      <c r="D1348" s="10" t="s">
        <v>75</v>
      </c>
      <c r="E1348" s="11" t="s">
        <v>78</v>
      </c>
      <c r="F1348" s="12">
        <v>8030.58</v>
      </c>
      <c r="G1348" s="13" t="s">
        <v>114</v>
      </c>
      <c r="H1348" s="12">
        <f t="shared" si="20"/>
        <v>8030.58</v>
      </c>
    </row>
    <row r="1349" spans="1:8">
      <c r="A1349" s="14">
        <v>1344</v>
      </c>
      <c r="B1349" s="9">
        <v>45720</v>
      </c>
      <c r="C1349" s="10" t="s">
        <v>5</v>
      </c>
      <c r="D1349" s="10" t="s">
        <v>75</v>
      </c>
      <c r="E1349" s="11" t="s">
        <v>82</v>
      </c>
      <c r="F1349" s="12">
        <v>2730.8</v>
      </c>
      <c r="G1349" s="13" t="s">
        <v>114</v>
      </c>
      <c r="H1349" s="12">
        <f t="shared" ref="H1349:H1412" si="21">IF(C1349="Despesa", F1349*-1, F1349)</f>
        <v>2730.8</v>
      </c>
    </row>
    <row r="1350" spans="1:8">
      <c r="A1350" s="14">
        <v>1345</v>
      </c>
      <c r="B1350" s="9">
        <v>45720</v>
      </c>
      <c r="C1350" s="10" t="s">
        <v>5</v>
      </c>
      <c r="D1350" s="10" t="s">
        <v>75</v>
      </c>
      <c r="E1350" s="11" t="s">
        <v>78</v>
      </c>
      <c r="F1350" s="12">
        <v>3997.25</v>
      </c>
      <c r="G1350" s="13" t="s">
        <v>114</v>
      </c>
      <c r="H1350" s="12">
        <f t="shared" si="21"/>
        <v>3997.25</v>
      </c>
    </row>
    <row r="1351" spans="1:8">
      <c r="A1351" s="14">
        <v>1346</v>
      </c>
      <c r="B1351" s="9">
        <v>45720</v>
      </c>
      <c r="C1351" s="10" t="s">
        <v>5</v>
      </c>
      <c r="D1351" s="10" t="s">
        <v>75</v>
      </c>
      <c r="E1351" s="11" t="s">
        <v>111</v>
      </c>
      <c r="F1351" s="12">
        <v>3927.63</v>
      </c>
      <c r="G1351" s="13" t="s">
        <v>114</v>
      </c>
      <c r="H1351" s="12">
        <f t="shared" si="21"/>
        <v>3927.63</v>
      </c>
    </row>
    <row r="1352" spans="1:8">
      <c r="A1352" s="14">
        <v>1347</v>
      </c>
      <c r="B1352" s="9">
        <v>45721</v>
      </c>
      <c r="C1352" s="10" t="s">
        <v>5</v>
      </c>
      <c r="D1352" s="10" t="s">
        <v>77</v>
      </c>
      <c r="E1352" s="11" t="s">
        <v>84</v>
      </c>
      <c r="F1352" s="12">
        <v>2695.21</v>
      </c>
      <c r="G1352" s="13" t="s">
        <v>114</v>
      </c>
      <c r="H1352" s="12">
        <f t="shared" si="21"/>
        <v>2695.21</v>
      </c>
    </row>
    <row r="1353" spans="1:8">
      <c r="A1353" s="14">
        <v>1348</v>
      </c>
      <c r="B1353" s="9">
        <v>45722</v>
      </c>
      <c r="C1353" s="10" t="s">
        <v>5</v>
      </c>
      <c r="D1353" s="10" t="s">
        <v>75</v>
      </c>
      <c r="E1353" s="11" t="s">
        <v>82</v>
      </c>
      <c r="F1353" s="12">
        <v>2175.36</v>
      </c>
      <c r="G1353" s="13" t="s">
        <v>114</v>
      </c>
      <c r="H1353" s="12">
        <f t="shared" si="21"/>
        <v>2175.36</v>
      </c>
    </row>
    <row r="1354" spans="1:8">
      <c r="A1354" s="14">
        <v>1349</v>
      </c>
      <c r="B1354" s="9">
        <v>45722</v>
      </c>
      <c r="C1354" s="10" t="s">
        <v>5</v>
      </c>
      <c r="D1354" s="10" t="s">
        <v>75</v>
      </c>
      <c r="E1354" s="11" t="s">
        <v>111</v>
      </c>
      <c r="F1354" s="12">
        <v>1174.24</v>
      </c>
      <c r="G1354" s="13" t="s">
        <v>114</v>
      </c>
      <c r="H1354" s="12">
        <f t="shared" si="21"/>
        <v>1174.24</v>
      </c>
    </row>
    <row r="1355" spans="1:8">
      <c r="A1355" s="14">
        <v>1350</v>
      </c>
      <c r="B1355" s="9">
        <v>45722</v>
      </c>
      <c r="C1355" s="10" t="s">
        <v>5</v>
      </c>
      <c r="D1355" s="10" t="s">
        <v>76</v>
      </c>
      <c r="E1355" s="11" t="s">
        <v>87</v>
      </c>
      <c r="F1355" s="12">
        <v>2266.4</v>
      </c>
      <c r="G1355" s="13" t="s">
        <v>114</v>
      </c>
      <c r="H1355" s="12">
        <f t="shared" si="21"/>
        <v>2266.4</v>
      </c>
    </row>
    <row r="1356" spans="1:8">
      <c r="A1356" s="14">
        <v>1351</v>
      </c>
      <c r="B1356" s="9">
        <v>45722</v>
      </c>
      <c r="C1356" s="10" t="s">
        <v>5</v>
      </c>
      <c r="D1356" s="10" t="s">
        <v>75</v>
      </c>
      <c r="E1356" s="11" t="s">
        <v>111</v>
      </c>
      <c r="F1356" s="12">
        <v>1876.89</v>
      </c>
      <c r="G1356" s="13" t="s">
        <v>114</v>
      </c>
      <c r="H1356" s="12">
        <f t="shared" si="21"/>
        <v>1876.89</v>
      </c>
    </row>
    <row r="1357" spans="1:8">
      <c r="A1357" s="14">
        <v>1352</v>
      </c>
      <c r="B1357" s="9">
        <v>45722</v>
      </c>
      <c r="C1357" s="10" t="s">
        <v>5</v>
      </c>
      <c r="D1357" s="10" t="s">
        <v>18</v>
      </c>
      <c r="E1357" s="11" t="s">
        <v>86</v>
      </c>
      <c r="F1357" s="12">
        <v>11111.92</v>
      </c>
      <c r="G1357" s="13" t="s">
        <v>114</v>
      </c>
      <c r="H1357" s="12">
        <f t="shared" si="21"/>
        <v>11111.92</v>
      </c>
    </row>
    <row r="1358" spans="1:8">
      <c r="A1358" s="14">
        <v>1353</v>
      </c>
      <c r="B1358" s="9">
        <v>45723</v>
      </c>
      <c r="C1358" s="10" t="s">
        <v>5</v>
      </c>
      <c r="D1358" s="10" t="s">
        <v>76</v>
      </c>
      <c r="E1358" s="11" t="s">
        <v>80</v>
      </c>
      <c r="F1358" s="12">
        <v>11128.98</v>
      </c>
      <c r="G1358" s="13" t="s">
        <v>114</v>
      </c>
      <c r="H1358" s="12">
        <f t="shared" si="21"/>
        <v>11128.98</v>
      </c>
    </row>
    <row r="1359" spans="1:8">
      <c r="A1359" s="14">
        <v>1354</v>
      </c>
      <c r="B1359" s="9">
        <v>45723</v>
      </c>
      <c r="C1359" s="10" t="s">
        <v>5</v>
      </c>
      <c r="D1359" s="10" t="s">
        <v>75</v>
      </c>
      <c r="E1359" s="11" t="s">
        <v>101</v>
      </c>
      <c r="F1359" s="12">
        <v>4704.8100000000004</v>
      </c>
      <c r="G1359" s="13" t="s">
        <v>114</v>
      </c>
      <c r="H1359" s="12">
        <f t="shared" si="21"/>
        <v>4704.8100000000004</v>
      </c>
    </row>
    <row r="1360" spans="1:8">
      <c r="A1360" s="14">
        <v>1355</v>
      </c>
      <c r="B1360" s="9">
        <v>45724</v>
      </c>
      <c r="C1360" s="10" t="s">
        <v>5</v>
      </c>
      <c r="D1360" s="10" t="s">
        <v>18</v>
      </c>
      <c r="E1360" s="11" t="s">
        <v>79</v>
      </c>
      <c r="F1360" s="12">
        <v>17698.330000000002</v>
      </c>
      <c r="G1360" s="13" t="s">
        <v>114</v>
      </c>
      <c r="H1360" s="12">
        <f t="shared" si="21"/>
        <v>17698.330000000002</v>
      </c>
    </row>
    <row r="1361" spans="1:8">
      <c r="A1361" s="14">
        <v>1356</v>
      </c>
      <c r="B1361" s="9">
        <v>45724</v>
      </c>
      <c r="C1361" s="10" t="s">
        <v>5</v>
      </c>
      <c r="D1361" s="10" t="s">
        <v>18</v>
      </c>
      <c r="E1361" s="11" t="s">
        <v>86</v>
      </c>
      <c r="F1361" s="12">
        <v>21688.87</v>
      </c>
      <c r="G1361" s="13" t="s">
        <v>114</v>
      </c>
      <c r="H1361" s="12">
        <f t="shared" si="21"/>
        <v>21688.87</v>
      </c>
    </row>
    <row r="1362" spans="1:8">
      <c r="A1362" s="14">
        <v>1357</v>
      </c>
      <c r="B1362" s="9">
        <v>45725</v>
      </c>
      <c r="C1362" s="10" t="s">
        <v>5</v>
      </c>
      <c r="D1362" s="10" t="s">
        <v>77</v>
      </c>
      <c r="E1362" s="11" t="s">
        <v>81</v>
      </c>
      <c r="F1362" s="12">
        <v>1089.06</v>
      </c>
      <c r="G1362" s="13" t="s">
        <v>114</v>
      </c>
      <c r="H1362" s="12">
        <f t="shared" si="21"/>
        <v>1089.06</v>
      </c>
    </row>
    <row r="1363" spans="1:8">
      <c r="A1363" s="14">
        <v>1358</v>
      </c>
      <c r="B1363" s="9">
        <v>45725</v>
      </c>
      <c r="C1363" s="10" t="s">
        <v>5</v>
      </c>
      <c r="D1363" s="10" t="s">
        <v>75</v>
      </c>
      <c r="E1363" s="11" t="s">
        <v>78</v>
      </c>
      <c r="F1363" s="12">
        <v>8635.48</v>
      </c>
      <c r="G1363" s="13" t="s">
        <v>114</v>
      </c>
      <c r="H1363" s="12">
        <f t="shared" si="21"/>
        <v>8635.48</v>
      </c>
    </row>
    <row r="1364" spans="1:8">
      <c r="A1364" s="14">
        <v>1359</v>
      </c>
      <c r="B1364" s="9">
        <v>45725</v>
      </c>
      <c r="C1364" s="10" t="s">
        <v>5</v>
      </c>
      <c r="D1364" s="10" t="s">
        <v>76</v>
      </c>
      <c r="E1364" s="11" t="s">
        <v>87</v>
      </c>
      <c r="F1364" s="12">
        <v>614.08000000000004</v>
      </c>
      <c r="G1364" s="13" t="s">
        <v>114</v>
      </c>
      <c r="H1364" s="12">
        <f t="shared" si="21"/>
        <v>614.08000000000004</v>
      </c>
    </row>
    <row r="1365" spans="1:8">
      <c r="A1365" s="14">
        <v>1360</v>
      </c>
      <c r="B1365" s="9">
        <v>45727</v>
      </c>
      <c r="C1365" s="10" t="s">
        <v>5</v>
      </c>
      <c r="D1365" s="10" t="s">
        <v>75</v>
      </c>
      <c r="E1365" s="11" t="s">
        <v>85</v>
      </c>
      <c r="F1365" s="12">
        <v>5719.13</v>
      </c>
      <c r="G1365" s="13" t="s">
        <v>114</v>
      </c>
      <c r="H1365" s="12">
        <f t="shared" si="21"/>
        <v>5719.13</v>
      </c>
    </row>
    <row r="1366" spans="1:8">
      <c r="A1366" s="14">
        <v>1361</v>
      </c>
      <c r="B1366" s="9">
        <v>45727</v>
      </c>
      <c r="C1366" s="10" t="s">
        <v>5</v>
      </c>
      <c r="D1366" s="10" t="s">
        <v>75</v>
      </c>
      <c r="E1366" s="11" t="s">
        <v>78</v>
      </c>
      <c r="F1366" s="12">
        <v>8152.88</v>
      </c>
      <c r="G1366" s="13" t="s">
        <v>114</v>
      </c>
      <c r="H1366" s="12">
        <f t="shared" si="21"/>
        <v>8152.88</v>
      </c>
    </row>
    <row r="1367" spans="1:8">
      <c r="A1367" s="14">
        <v>1362</v>
      </c>
      <c r="B1367" s="9">
        <v>45728</v>
      </c>
      <c r="C1367" s="10" t="s">
        <v>5</v>
      </c>
      <c r="D1367" s="10" t="s">
        <v>18</v>
      </c>
      <c r="E1367" s="11" t="s">
        <v>98</v>
      </c>
      <c r="F1367" s="12">
        <v>7554.88</v>
      </c>
      <c r="G1367" s="13" t="s">
        <v>114</v>
      </c>
      <c r="H1367" s="12">
        <f t="shared" si="21"/>
        <v>7554.88</v>
      </c>
    </row>
    <row r="1368" spans="1:8">
      <c r="A1368" s="14">
        <v>1363</v>
      </c>
      <c r="B1368" s="9">
        <v>45728</v>
      </c>
      <c r="C1368" s="10" t="s">
        <v>5</v>
      </c>
      <c r="D1368" s="10" t="s">
        <v>76</v>
      </c>
      <c r="E1368" s="11" t="s">
        <v>91</v>
      </c>
      <c r="F1368" s="12">
        <v>6906.02</v>
      </c>
      <c r="G1368" s="13" t="s">
        <v>114</v>
      </c>
      <c r="H1368" s="12">
        <f t="shared" si="21"/>
        <v>6906.02</v>
      </c>
    </row>
    <row r="1369" spans="1:8">
      <c r="A1369" s="14">
        <v>1364</v>
      </c>
      <c r="B1369" s="9">
        <v>45729</v>
      </c>
      <c r="C1369" s="10" t="s">
        <v>5</v>
      </c>
      <c r="D1369" s="10" t="s">
        <v>76</v>
      </c>
      <c r="E1369" s="11" t="s">
        <v>91</v>
      </c>
      <c r="F1369" s="12">
        <v>4601.4399999999996</v>
      </c>
      <c r="G1369" s="13" t="s">
        <v>114</v>
      </c>
      <c r="H1369" s="12">
        <f t="shared" si="21"/>
        <v>4601.4399999999996</v>
      </c>
    </row>
    <row r="1370" spans="1:8">
      <c r="A1370" s="14">
        <v>1365</v>
      </c>
      <c r="B1370" s="9">
        <v>45730</v>
      </c>
      <c r="C1370" s="10" t="s">
        <v>5</v>
      </c>
      <c r="D1370" s="10" t="s">
        <v>75</v>
      </c>
      <c r="E1370" s="11" t="s">
        <v>101</v>
      </c>
      <c r="F1370" s="12">
        <v>15058.5</v>
      </c>
      <c r="G1370" s="13" t="s">
        <v>114</v>
      </c>
      <c r="H1370" s="12">
        <f t="shared" si="21"/>
        <v>15058.5</v>
      </c>
    </row>
    <row r="1371" spans="1:8">
      <c r="A1371" s="14">
        <v>1366</v>
      </c>
      <c r="B1371" s="9">
        <v>45730</v>
      </c>
      <c r="C1371" s="10" t="s">
        <v>5</v>
      </c>
      <c r="D1371" s="10" t="s">
        <v>76</v>
      </c>
      <c r="E1371" s="11" t="s">
        <v>80</v>
      </c>
      <c r="F1371" s="12">
        <v>10776.65</v>
      </c>
      <c r="G1371" s="13" t="s">
        <v>114</v>
      </c>
      <c r="H1371" s="12">
        <f t="shared" si="21"/>
        <v>10776.65</v>
      </c>
    </row>
    <row r="1372" spans="1:8">
      <c r="A1372" s="14">
        <v>1367</v>
      </c>
      <c r="B1372" s="9">
        <v>45730</v>
      </c>
      <c r="C1372" s="10" t="s">
        <v>5</v>
      </c>
      <c r="D1372" s="10" t="s">
        <v>77</v>
      </c>
      <c r="E1372" s="11" t="s">
        <v>81</v>
      </c>
      <c r="F1372" s="12">
        <v>3455.83</v>
      </c>
      <c r="G1372" s="13" t="s">
        <v>114</v>
      </c>
      <c r="H1372" s="12">
        <f t="shared" si="21"/>
        <v>3455.83</v>
      </c>
    </row>
    <row r="1373" spans="1:8">
      <c r="A1373" s="14">
        <v>1368</v>
      </c>
      <c r="B1373" s="9">
        <v>45730</v>
      </c>
      <c r="C1373" s="10" t="s">
        <v>5</v>
      </c>
      <c r="D1373" s="10" t="s">
        <v>75</v>
      </c>
      <c r="E1373" s="11" t="s">
        <v>85</v>
      </c>
      <c r="F1373" s="12">
        <v>6400.14</v>
      </c>
      <c r="G1373" s="13" t="s">
        <v>114</v>
      </c>
      <c r="H1373" s="12">
        <f t="shared" si="21"/>
        <v>6400.14</v>
      </c>
    </row>
    <row r="1374" spans="1:8">
      <c r="A1374" s="14">
        <v>1369</v>
      </c>
      <c r="B1374" s="9">
        <v>45730</v>
      </c>
      <c r="C1374" s="10" t="s">
        <v>5</v>
      </c>
      <c r="D1374" s="10" t="s">
        <v>75</v>
      </c>
      <c r="E1374" s="11" t="s">
        <v>78</v>
      </c>
      <c r="F1374" s="12">
        <v>1707.37</v>
      </c>
      <c r="G1374" s="13" t="s">
        <v>114</v>
      </c>
      <c r="H1374" s="12">
        <f t="shared" si="21"/>
        <v>1707.37</v>
      </c>
    </row>
    <row r="1375" spans="1:8">
      <c r="A1375" s="14">
        <v>1370</v>
      </c>
      <c r="B1375" s="9">
        <v>45731</v>
      </c>
      <c r="C1375" s="10" t="s">
        <v>5</v>
      </c>
      <c r="D1375" s="10" t="s">
        <v>75</v>
      </c>
      <c r="E1375" s="11" t="s">
        <v>111</v>
      </c>
      <c r="F1375" s="12">
        <v>1800.83</v>
      </c>
      <c r="G1375" s="13" t="s">
        <v>114</v>
      </c>
      <c r="H1375" s="12">
        <f t="shared" si="21"/>
        <v>1800.83</v>
      </c>
    </row>
    <row r="1376" spans="1:8">
      <c r="A1376" s="14">
        <v>1371</v>
      </c>
      <c r="B1376" s="9">
        <v>45731</v>
      </c>
      <c r="C1376" s="10" t="s">
        <v>5</v>
      </c>
      <c r="D1376" s="10" t="s">
        <v>75</v>
      </c>
      <c r="E1376" s="11" t="s">
        <v>82</v>
      </c>
      <c r="F1376" s="12">
        <v>7889.67</v>
      </c>
      <c r="G1376" s="13" t="s">
        <v>114</v>
      </c>
      <c r="H1376" s="12">
        <f t="shared" si="21"/>
        <v>7889.67</v>
      </c>
    </row>
    <row r="1377" spans="1:8">
      <c r="A1377" s="14">
        <v>1372</v>
      </c>
      <c r="B1377" s="9">
        <v>45732</v>
      </c>
      <c r="C1377" s="10" t="s">
        <v>5</v>
      </c>
      <c r="D1377" s="10" t="s">
        <v>18</v>
      </c>
      <c r="E1377" s="11" t="s">
        <v>94</v>
      </c>
      <c r="F1377" s="12">
        <v>11624.23</v>
      </c>
      <c r="G1377" s="13" t="s">
        <v>114</v>
      </c>
      <c r="H1377" s="12">
        <f t="shared" si="21"/>
        <v>11624.23</v>
      </c>
    </row>
    <row r="1378" spans="1:8">
      <c r="A1378" s="14">
        <v>1373</v>
      </c>
      <c r="B1378" s="9">
        <v>45732</v>
      </c>
      <c r="C1378" s="10" t="s">
        <v>5</v>
      </c>
      <c r="D1378" s="10" t="s">
        <v>76</v>
      </c>
      <c r="E1378" s="11" t="s">
        <v>87</v>
      </c>
      <c r="F1378" s="12">
        <v>889.04</v>
      </c>
      <c r="G1378" s="13" t="s">
        <v>114</v>
      </c>
      <c r="H1378" s="12">
        <f t="shared" si="21"/>
        <v>889.04</v>
      </c>
    </row>
    <row r="1379" spans="1:8">
      <c r="A1379" s="14">
        <v>1374</v>
      </c>
      <c r="B1379" s="9">
        <v>45733</v>
      </c>
      <c r="C1379" s="10" t="s">
        <v>5</v>
      </c>
      <c r="D1379" s="10" t="s">
        <v>76</v>
      </c>
      <c r="E1379" s="11" t="s">
        <v>80</v>
      </c>
      <c r="F1379" s="12">
        <v>4245.92</v>
      </c>
      <c r="G1379" s="13" t="s">
        <v>114</v>
      </c>
      <c r="H1379" s="12">
        <f t="shared" si="21"/>
        <v>4245.92</v>
      </c>
    </row>
    <row r="1380" spans="1:8">
      <c r="A1380" s="14">
        <v>1375</v>
      </c>
      <c r="B1380" s="9">
        <v>45733</v>
      </c>
      <c r="C1380" s="10" t="s">
        <v>5</v>
      </c>
      <c r="D1380" s="10" t="s">
        <v>75</v>
      </c>
      <c r="E1380" s="11" t="s">
        <v>97</v>
      </c>
      <c r="F1380" s="12">
        <v>2200.33</v>
      </c>
      <c r="G1380" s="13" t="s">
        <v>114</v>
      </c>
      <c r="H1380" s="12">
        <f t="shared" si="21"/>
        <v>2200.33</v>
      </c>
    </row>
    <row r="1381" spans="1:8">
      <c r="A1381" s="14">
        <v>1376</v>
      </c>
      <c r="B1381" s="9">
        <v>45733</v>
      </c>
      <c r="C1381" s="10" t="s">
        <v>5</v>
      </c>
      <c r="D1381" s="10" t="s">
        <v>75</v>
      </c>
      <c r="E1381" s="11" t="s">
        <v>78</v>
      </c>
      <c r="F1381" s="12">
        <v>9113.91</v>
      </c>
      <c r="G1381" s="13" t="s">
        <v>114</v>
      </c>
      <c r="H1381" s="12">
        <f t="shared" si="21"/>
        <v>9113.91</v>
      </c>
    </row>
    <row r="1382" spans="1:8">
      <c r="A1382" s="14">
        <v>1377</v>
      </c>
      <c r="B1382" s="9">
        <v>45734</v>
      </c>
      <c r="C1382" s="10" t="s">
        <v>5</v>
      </c>
      <c r="D1382" s="10" t="s">
        <v>75</v>
      </c>
      <c r="E1382" s="11" t="s">
        <v>82</v>
      </c>
      <c r="F1382" s="12">
        <v>7565.33</v>
      </c>
      <c r="G1382" s="13" t="s">
        <v>114</v>
      </c>
      <c r="H1382" s="12">
        <f t="shared" si="21"/>
        <v>7565.33</v>
      </c>
    </row>
    <row r="1383" spans="1:8">
      <c r="A1383" s="14">
        <v>1378</v>
      </c>
      <c r="B1383" s="9">
        <v>45735</v>
      </c>
      <c r="C1383" s="10" t="s">
        <v>5</v>
      </c>
      <c r="D1383" s="10" t="s">
        <v>18</v>
      </c>
      <c r="E1383" s="11" t="s">
        <v>94</v>
      </c>
      <c r="F1383" s="12">
        <v>16547.47</v>
      </c>
      <c r="G1383" s="13" t="s">
        <v>114</v>
      </c>
      <c r="H1383" s="12">
        <f t="shared" si="21"/>
        <v>16547.47</v>
      </c>
    </row>
    <row r="1384" spans="1:8">
      <c r="A1384" s="14">
        <v>1379</v>
      </c>
      <c r="B1384" s="9">
        <v>45735</v>
      </c>
      <c r="C1384" s="10" t="s">
        <v>5</v>
      </c>
      <c r="D1384" s="10" t="s">
        <v>76</v>
      </c>
      <c r="E1384" s="11" t="s">
        <v>80</v>
      </c>
      <c r="F1384" s="12">
        <v>7421.33</v>
      </c>
      <c r="G1384" s="13" t="s">
        <v>114</v>
      </c>
      <c r="H1384" s="12">
        <f t="shared" si="21"/>
        <v>7421.33</v>
      </c>
    </row>
    <row r="1385" spans="1:8">
      <c r="A1385" s="14">
        <v>1380</v>
      </c>
      <c r="B1385" s="9">
        <v>45735</v>
      </c>
      <c r="C1385" s="10" t="s">
        <v>5</v>
      </c>
      <c r="D1385" s="10" t="s">
        <v>75</v>
      </c>
      <c r="E1385" s="11" t="s">
        <v>111</v>
      </c>
      <c r="F1385" s="12">
        <v>2649.63</v>
      </c>
      <c r="G1385" s="13" t="s">
        <v>114</v>
      </c>
      <c r="H1385" s="12">
        <f t="shared" si="21"/>
        <v>2649.63</v>
      </c>
    </row>
    <row r="1386" spans="1:8">
      <c r="A1386" s="14">
        <v>1381</v>
      </c>
      <c r="B1386" s="9">
        <v>45735</v>
      </c>
      <c r="C1386" s="10" t="s">
        <v>5</v>
      </c>
      <c r="D1386" s="10" t="s">
        <v>18</v>
      </c>
      <c r="E1386" s="11" t="s">
        <v>104</v>
      </c>
      <c r="F1386" s="12">
        <v>1518.47</v>
      </c>
      <c r="G1386" s="13" t="s">
        <v>114</v>
      </c>
      <c r="H1386" s="12">
        <f t="shared" si="21"/>
        <v>1518.47</v>
      </c>
    </row>
    <row r="1387" spans="1:8">
      <c r="A1387" s="14">
        <v>1382</v>
      </c>
      <c r="B1387" s="9">
        <v>45736</v>
      </c>
      <c r="C1387" s="10" t="s">
        <v>5</v>
      </c>
      <c r="D1387" s="10" t="s">
        <v>75</v>
      </c>
      <c r="E1387" s="11" t="s">
        <v>89</v>
      </c>
      <c r="F1387" s="12">
        <v>9659.6299999999992</v>
      </c>
      <c r="G1387" s="13" t="s">
        <v>114</v>
      </c>
      <c r="H1387" s="12">
        <f t="shared" si="21"/>
        <v>9659.6299999999992</v>
      </c>
    </row>
    <row r="1388" spans="1:8">
      <c r="A1388" s="14">
        <v>1383</v>
      </c>
      <c r="B1388" s="9">
        <v>45736</v>
      </c>
      <c r="C1388" s="10" t="s">
        <v>5</v>
      </c>
      <c r="D1388" s="10" t="s">
        <v>77</v>
      </c>
      <c r="E1388" s="11" t="s">
        <v>108</v>
      </c>
      <c r="F1388" s="12">
        <v>2609.2399999999998</v>
      </c>
      <c r="G1388" s="13" t="s">
        <v>114</v>
      </c>
      <c r="H1388" s="12">
        <f t="shared" si="21"/>
        <v>2609.2399999999998</v>
      </c>
    </row>
    <row r="1389" spans="1:8">
      <c r="A1389" s="14">
        <v>1384</v>
      </c>
      <c r="B1389" s="9">
        <v>45737</v>
      </c>
      <c r="C1389" s="10" t="s">
        <v>5</v>
      </c>
      <c r="D1389" s="10" t="s">
        <v>75</v>
      </c>
      <c r="E1389" s="11" t="s">
        <v>85</v>
      </c>
      <c r="F1389" s="12">
        <v>9610</v>
      </c>
      <c r="G1389" s="13" t="s">
        <v>114</v>
      </c>
      <c r="H1389" s="12">
        <f t="shared" si="21"/>
        <v>9610</v>
      </c>
    </row>
    <row r="1390" spans="1:8">
      <c r="A1390" s="14">
        <v>1385</v>
      </c>
      <c r="B1390" s="9">
        <v>45737</v>
      </c>
      <c r="C1390" s="10" t="s">
        <v>5</v>
      </c>
      <c r="D1390" s="10" t="s">
        <v>75</v>
      </c>
      <c r="E1390" s="11" t="s">
        <v>106</v>
      </c>
      <c r="F1390" s="12">
        <v>1975.58</v>
      </c>
      <c r="G1390" s="13" t="s">
        <v>114</v>
      </c>
      <c r="H1390" s="12">
        <f t="shared" si="21"/>
        <v>1975.58</v>
      </c>
    </row>
    <row r="1391" spans="1:8">
      <c r="A1391" s="14">
        <v>1386</v>
      </c>
      <c r="B1391" s="9">
        <v>45738</v>
      </c>
      <c r="C1391" s="10" t="s">
        <v>5</v>
      </c>
      <c r="D1391" s="10" t="s">
        <v>75</v>
      </c>
      <c r="E1391" s="11" t="s">
        <v>89</v>
      </c>
      <c r="F1391" s="12">
        <v>8709.36</v>
      </c>
      <c r="G1391" s="13" t="s">
        <v>114</v>
      </c>
      <c r="H1391" s="12">
        <f t="shared" si="21"/>
        <v>8709.36</v>
      </c>
    </row>
    <row r="1392" spans="1:8">
      <c r="A1392" s="14">
        <v>1387</v>
      </c>
      <c r="B1392" s="9">
        <v>45739</v>
      </c>
      <c r="C1392" s="10" t="s">
        <v>5</v>
      </c>
      <c r="D1392" s="10" t="s">
        <v>75</v>
      </c>
      <c r="E1392" s="11" t="s">
        <v>78</v>
      </c>
      <c r="F1392" s="12">
        <v>8396.2000000000007</v>
      </c>
      <c r="G1392" s="13" t="s">
        <v>114</v>
      </c>
      <c r="H1392" s="12">
        <f t="shared" si="21"/>
        <v>8396.2000000000007</v>
      </c>
    </row>
    <row r="1393" spans="1:8">
      <c r="A1393" s="14">
        <v>1388</v>
      </c>
      <c r="B1393" s="9">
        <v>45740</v>
      </c>
      <c r="C1393" s="10" t="s">
        <v>5</v>
      </c>
      <c r="D1393" s="10" t="s">
        <v>76</v>
      </c>
      <c r="E1393" s="11" t="s">
        <v>102</v>
      </c>
      <c r="F1393" s="12">
        <v>2038.96</v>
      </c>
      <c r="G1393" s="13" t="s">
        <v>114</v>
      </c>
      <c r="H1393" s="12">
        <f t="shared" si="21"/>
        <v>2038.96</v>
      </c>
    </row>
    <row r="1394" spans="1:8">
      <c r="A1394" s="14">
        <v>1389</v>
      </c>
      <c r="B1394" s="9">
        <v>45740</v>
      </c>
      <c r="C1394" s="10" t="s">
        <v>5</v>
      </c>
      <c r="D1394" s="10" t="s">
        <v>75</v>
      </c>
      <c r="E1394" s="11" t="s">
        <v>106</v>
      </c>
      <c r="F1394" s="12">
        <v>4368.13</v>
      </c>
      <c r="G1394" s="13" t="s">
        <v>114</v>
      </c>
      <c r="H1394" s="12">
        <f t="shared" si="21"/>
        <v>4368.13</v>
      </c>
    </row>
    <row r="1395" spans="1:8">
      <c r="A1395" s="14">
        <v>1390</v>
      </c>
      <c r="B1395" s="9">
        <v>45741</v>
      </c>
      <c r="C1395" s="10" t="s">
        <v>5</v>
      </c>
      <c r="D1395" s="10" t="s">
        <v>76</v>
      </c>
      <c r="E1395" s="11" t="s">
        <v>87</v>
      </c>
      <c r="F1395" s="12">
        <v>909.83</v>
      </c>
      <c r="G1395" s="13" t="s">
        <v>114</v>
      </c>
      <c r="H1395" s="12">
        <f t="shared" si="21"/>
        <v>909.83</v>
      </c>
    </row>
    <row r="1396" spans="1:8">
      <c r="A1396" s="14">
        <v>1391</v>
      </c>
      <c r="B1396" s="9">
        <v>45741</v>
      </c>
      <c r="C1396" s="10" t="s">
        <v>5</v>
      </c>
      <c r="D1396" s="10" t="s">
        <v>75</v>
      </c>
      <c r="E1396" s="11" t="s">
        <v>101</v>
      </c>
      <c r="F1396" s="12">
        <v>7776.1</v>
      </c>
      <c r="G1396" s="13" t="s">
        <v>114</v>
      </c>
      <c r="H1396" s="12">
        <f t="shared" si="21"/>
        <v>7776.1</v>
      </c>
    </row>
    <row r="1397" spans="1:8">
      <c r="A1397" s="14">
        <v>1392</v>
      </c>
      <c r="B1397" s="9">
        <v>45742</v>
      </c>
      <c r="C1397" s="10" t="s">
        <v>5</v>
      </c>
      <c r="D1397" s="10" t="s">
        <v>75</v>
      </c>
      <c r="E1397" s="11" t="s">
        <v>106</v>
      </c>
      <c r="F1397" s="12">
        <v>4051.03</v>
      </c>
      <c r="G1397" s="13" t="s">
        <v>114</v>
      </c>
      <c r="H1397" s="12">
        <f t="shared" si="21"/>
        <v>4051.03</v>
      </c>
    </row>
    <row r="1398" spans="1:8">
      <c r="A1398" s="14">
        <v>1393</v>
      </c>
      <c r="B1398" s="9">
        <v>45742</v>
      </c>
      <c r="C1398" s="10" t="s">
        <v>5</v>
      </c>
      <c r="D1398" s="10" t="s">
        <v>76</v>
      </c>
      <c r="E1398" s="11" t="s">
        <v>80</v>
      </c>
      <c r="F1398" s="12">
        <v>7835.61</v>
      </c>
      <c r="G1398" s="13" t="s">
        <v>114</v>
      </c>
      <c r="H1398" s="12">
        <f t="shared" si="21"/>
        <v>7835.61</v>
      </c>
    </row>
    <row r="1399" spans="1:8">
      <c r="A1399" s="14">
        <v>1394</v>
      </c>
      <c r="B1399" s="9">
        <v>45742</v>
      </c>
      <c r="C1399" s="10" t="s">
        <v>5</v>
      </c>
      <c r="D1399" s="10" t="s">
        <v>76</v>
      </c>
      <c r="E1399" s="11" t="s">
        <v>80</v>
      </c>
      <c r="F1399" s="12">
        <v>1930.51</v>
      </c>
      <c r="G1399" s="13" t="s">
        <v>114</v>
      </c>
      <c r="H1399" s="12">
        <f t="shared" si="21"/>
        <v>1930.51</v>
      </c>
    </row>
    <row r="1400" spans="1:8">
      <c r="A1400" s="14">
        <v>1395</v>
      </c>
      <c r="B1400" s="9">
        <v>45743</v>
      </c>
      <c r="C1400" s="10" t="s">
        <v>5</v>
      </c>
      <c r="D1400" s="10" t="s">
        <v>77</v>
      </c>
      <c r="E1400" s="11" t="s">
        <v>96</v>
      </c>
      <c r="F1400" s="12">
        <v>7310.51</v>
      </c>
      <c r="G1400" s="13" t="s">
        <v>114</v>
      </c>
      <c r="H1400" s="12">
        <f t="shared" si="21"/>
        <v>7310.51</v>
      </c>
    </row>
    <row r="1401" spans="1:8">
      <c r="A1401" s="14">
        <v>1396</v>
      </c>
      <c r="B1401" s="9">
        <v>45743</v>
      </c>
      <c r="C1401" s="10" t="s">
        <v>5</v>
      </c>
      <c r="D1401" s="10" t="s">
        <v>75</v>
      </c>
      <c r="E1401" s="11" t="s">
        <v>85</v>
      </c>
      <c r="F1401" s="12">
        <v>6221.95</v>
      </c>
      <c r="G1401" s="13" t="s">
        <v>114</v>
      </c>
      <c r="H1401" s="12">
        <f t="shared" si="21"/>
        <v>6221.95</v>
      </c>
    </row>
    <row r="1402" spans="1:8">
      <c r="A1402" s="14">
        <v>1397</v>
      </c>
      <c r="B1402" s="9">
        <v>45743</v>
      </c>
      <c r="C1402" s="10" t="s">
        <v>5</v>
      </c>
      <c r="D1402" s="10" t="s">
        <v>75</v>
      </c>
      <c r="E1402" s="11" t="s">
        <v>82</v>
      </c>
      <c r="F1402" s="12">
        <v>9525.24</v>
      </c>
      <c r="G1402" s="13" t="s">
        <v>114</v>
      </c>
      <c r="H1402" s="12">
        <f t="shared" si="21"/>
        <v>9525.24</v>
      </c>
    </row>
    <row r="1403" spans="1:8">
      <c r="A1403" s="14">
        <v>1398</v>
      </c>
      <c r="B1403" s="9">
        <v>45743</v>
      </c>
      <c r="C1403" s="10" t="s">
        <v>5</v>
      </c>
      <c r="D1403" s="10" t="s">
        <v>75</v>
      </c>
      <c r="E1403" s="11" t="s">
        <v>89</v>
      </c>
      <c r="F1403" s="12">
        <v>9300.35</v>
      </c>
      <c r="G1403" s="13" t="s">
        <v>114</v>
      </c>
      <c r="H1403" s="12">
        <f t="shared" si="21"/>
        <v>9300.35</v>
      </c>
    </row>
    <row r="1404" spans="1:8">
      <c r="A1404" s="14">
        <v>1399</v>
      </c>
      <c r="B1404" s="9">
        <v>45744</v>
      </c>
      <c r="C1404" s="10" t="s">
        <v>5</v>
      </c>
      <c r="D1404" s="10" t="s">
        <v>75</v>
      </c>
      <c r="E1404" s="11" t="s">
        <v>89</v>
      </c>
      <c r="F1404" s="12">
        <v>4711.05</v>
      </c>
      <c r="G1404" s="13" t="s">
        <v>114</v>
      </c>
      <c r="H1404" s="12">
        <f t="shared" si="21"/>
        <v>4711.05</v>
      </c>
    </row>
    <row r="1405" spans="1:8">
      <c r="A1405" s="14">
        <v>1400</v>
      </c>
      <c r="B1405" s="9">
        <v>45744</v>
      </c>
      <c r="C1405" s="10" t="s">
        <v>5</v>
      </c>
      <c r="D1405" s="10" t="s">
        <v>75</v>
      </c>
      <c r="E1405" s="11" t="s">
        <v>93</v>
      </c>
      <c r="F1405" s="12">
        <v>4211.2</v>
      </c>
      <c r="G1405" s="13" t="s">
        <v>114</v>
      </c>
      <c r="H1405" s="12">
        <f t="shared" si="21"/>
        <v>4211.2</v>
      </c>
    </row>
    <row r="1406" spans="1:8">
      <c r="A1406" s="14">
        <v>1401</v>
      </c>
      <c r="B1406" s="9">
        <v>45745</v>
      </c>
      <c r="C1406" s="10" t="s">
        <v>5</v>
      </c>
      <c r="D1406" s="10" t="s">
        <v>76</v>
      </c>
      <c r="E1406" s="11" t="s">
        <v>102</v>
      </c>
      <c r="F1406" s="12">
        <v>11856.42</v>
      </c>
      <c r="G1406" s="13" t="s">
        <v>114</v>
      </c>
      <c r="H1406" s="12">
        <f t="shared" si="21"/>
        <v>11856.42</v>
      </c>
    </row>
    <row r="1407" spans="1:8">
      <c r="A1407" s="14">
        <v>1402</v>
      </c>
      <c r="B1407" s="9">
        <v>45745</v>
      </c>
      <c r="C1407" s="10" t="s">
        <v>5</v>
      </c>
      <c r="D1407" s="10" t="s">
        <v>76</v>
      </c>
      <c r="E1407" s="11" t="s">
        <v>87</v>
      </c>
      <c r="F1407" s="12">
        <v>487.86</v>
      </c>
      <c r="G1407" s="13" t="s">
        <v>114</v>
      </c>
      <c r="H1407" s="12">
        <f t="shared" si="21"/>
        <v>487.86</v>
      </c>
    </row>
    <row r="1408" spans="1:8">
      <c r="A1408" s="14">
        <v>1403</v>
      </c>
      <c r="B1408" s="9">
        <v>45746</v>
      </c>
      <c r="C1408" s="10" t="s">
        <v>5</v>
      </c>
      <c r="D1408" s="10" t="s">
        <v>18</v>
      </c>
      <c r="E1408" s="11" t="s">
        <v>104</v>
      </c>
      <c r="F1408" s="12">
        <v>1782.5</v>
      </c>
      <c r="G1408" s="13" t="s">
        <v>114</v>
      </c>
      <c r="H1408" s="12">
        <f t="shared" si="21"/>
        <v>1782.5</v>
      </c>
    </row>
    <row r="1409" spans="1:8">
      <c r="A1409" s="14">
        <v>1404</v>
      </c>
      <c r="B1409" s="9">
        <v>45746</v>
      </c>
      <c r="C1409" s="10" t="s">
        <v>5</v>
      </c>
      <c r="D1409" s="10" t="s">
        <v>75</v>
      </c>
      <c r="E1409" s="11" t="s">
        <v>85</v>
      </c>
      <c r="F1409" s="12">
        <v>4248.3500000000004</v>
      </c>
      <c r="G1409" s="13" t="s">
        <v>114</v>
      </c>
      <c r="H1409" s="12">
        <f t="shared" si="21"/>
        <v>4248.3500000000004</v>
      </c>
    </row>
    <row r="1410" spans="1:8">
      <c r="A1410" s="14">
        <v>1405</v>
      </c>
      <c r="B1410" s="9">
        <v>45747</v>
      </c>
      <c r="C1410" s="10" t="s">
        <v>5</v>
      </c>
      <c r="D1410" s="10" t="s">
        <v>77</v>
      </c>
      <c r="E1410" s="11" t="s">
        <v>109</v>
      </c>
      <c r="F1410" s="12">
        <v>10728.54</v>
      </c>
      <c r="G1410" s="13" t="s">
        <v>114</v>
      </c>
      <c r="H1410" s="12">
        <f t="shared" si="21"/>
        <v>10728.54</v>
      </c>
    </row>
    <row r="1411" spans="1:8">
      <c r="A1411" s="14">
        <v>1406</v>
      </c>
      <c r="B1411" s="9">
        <v>45748</v>
      </c>
      <c r="C1411" s="10" t="s">
        <v>5</v>
      </c>
      <c r="D1411" s="10" t="s">
        <v>76</v>
      </c>
      <c r="E1411" s="11" t="s">
        <v>91</v>
      </c>
      <c r="F1411" s="12">
        <v>6244.18</v>
      </c>
      <c r="G1411" s="13" t="s">
        <v>114</v>
      </c>
      <c r="H1411" s="12">
        <f t="shared" si="21"/>
        <v>6244.18</v>
      </c>
    </row>
    <row r="1412" spans="1:8">
      <c r="A1412" s="14">
        <v>1407</v>
      </c>
      <c r="B1412" s="9">
        <v>45748</v>
      </c>
      <c r="C1412" s="10" t="s">
        <v>5</v>
      </c>
      <c r="D1412" s="10" t="s">
        <v>77</v>
      </c>
      <c r="E1412" s="11" t="s">
        <v>100</v>
      </c>
      <c r="F1412" s="12">
        <v>5801.91</v>
      </c>
      <c r="G1412" s="13" t="s">
        <v>114</v>
      </c>
      <c r="H1412" s="12">
        <f t="shared" si="21"/>
        <v>5801.91</v>
      </c>
    </row>
    <row r="1413" spans="1:8">
      <c r="A1413" s="14">
        <v>1408</v>
      </c>
      <c r="B1413" s="9">
        <v>45749</v>
      </c>
      <c r="C1413" s="10" t="s">
        <v>5</v>
      </c>
      <c r="D1413" s="10" t="s">
        <v>75</v>
      </c>
      <c r="E1413" s="11" t="s">
        <v>78</v>
      </c>
      <c r="F1413" s="12">
        <v>4219.8599999999997</v>
      </c>
      <c r="G1413" s="13" t="s">
        <v>114</v>
      </c>
      <c r="H1413" s="12">
        <f t="shared" ref="H1413:H1476" si="22">IF(C1413="Despesa", F1413*-1, F1413)</f>
        <v>4219.8599999999997</v>
      </c>
    </row>
    <row r="1414" spans="1:8">
      <c r="A1414" s="14">
        <v>1409</v>
      </c>
      <c r="B1414" s="9">
        <v>45749</v>
      </c>
      <c r="C1414" s="10" t="s">
        <v>5</v>
      </c>
      <c r="D1414" s="10" t="s">
        <v>76</v>
      </c>
      <c r="E1414" s="11" t="s">
        <v>83</v>
      </c>
      <c r="F1414" s="12">
        <v>37985.86</v>
      </c>
      <c r="G1414" s="13" t="s">
        <v>114</v>
      </c>
      <c r="H1414" s="12">
        <f t="shared" si="22"/>
        <v>37985.86</v>
      </c>
    </row>
    <row r="1415" spans="1:8">
      <c r="A1415" s="14">
        <v>1410</v>
      </c>
      <c r="B1415" s="9">
        <v>45749</v>
      </c>
      <c r="C1415" s="10" t="s">
        <v>5</v>
      </c>
      <c r="D1415" s="10" t="s">
        <v>75</v>
      </c>
      <c r="E1415" s="11" t="s">
        <v>78</v>
      </c>
      <c r="F1415" s="12">
        <v>5963.89</v>
      </c>
      <c r="G1415" s="13" t="s">
        <v>114</v>
      </c>
      <c r="H1415" s="12">
        <f t="shared" si="22"/>
        <v>5963.89</v>
      </c>
    </row>
    <row r="1416" spans="1:8">
      <c r="A1416" s="14">
        <v>1411</v>
      </c>
      <c r="B1416" s="9">
        <v>45749</v>
      </c>
      <c r="C1416" s="10" t="s">
        <v>5</v>
      </c>
      <c r="D1416" s="10" t="s">
        <v>75</v>
      </c>
      <c r="E1416" s="11" t="s">
        <v>78</v>
      </c>
      <c r="F1416" s="12">
        <v>5489.77</v>
      </c>
      <c r="G1416" s="13" t="s">
        <v>114</v>
      </c>
      <c r="H1416" s="12">
        <f t="shared" si="22"/>
        <v>5489.77</v>
      </c>
    </row>
    <row r="1417" spans="1:8">
      <c r="A1417" s="14">
        <v>1412</v>
      </c>
      <c r="B1417" s="9">
        <v>45750</v>
      </c>
      <c r="C1417" s="10" t="s">
        <v>5</v>
      </c>
      <c r="D1417" s="10" t="s">
        <v>75</v>
      </c>
      <c r="E1417" s="11" t="s">
        <v>78</v>
      </c>
      <c r="F1417" s="12">
        <v>1544.76</v>
      </c>
      <c r="G1417" s="13" t="s">
        <v>114</v>
      </c>
      <c r="H1417" s="12">
        <f t="shared" si="22"/>
        <v>1544.76</v>
      </c>
    </row>
    <row r="1418" spans="1:8">
      <c r="A1418" s="14">
        <v>1413</v>
      </c>
      <c r="B1418" s="9">
        <v>45750</v>
      </c>
      <c r="C1418" s="10" t="s">
        <v>5</v>
      </c>
      <c r="D1418" s="10" t="s">
        <v>75</v>
      </c>
      <c r="E1418" s="11" t="s">
        <v>85</v>
      </c>
      <c r="F1418" s="12">
        <v>4074.11</v>
      </c>
      <c r="G1418" s="13" t="s">
        <v>114</v>
      </c>
      <c r="H1418" s="12">
        <f t="shared" si="22"/>
        <v>4074.11</v>
      </c>
    </row>
    <row r="1419" spans="1:8">
      <c r="A1419" s="14">
        <v>1414</v>
      </c>
      <c r="B1419" s="9">
        <v>45750</v>
      </c>
      <c r="C1419" s="10" t="s">
        <v>5</v>
      </c>
      <c r="D1419" s="10" t="s">
        <v>18</v>
      </c>
      <c r="E1419" s="11" t="s">
        <v>94</v>
      </c>
      <c r="F1419" s="12">
        <v>8333.5300000000007</v>
      </c>
      <c r="G1419" s="13" t="s">
        <v>114</v>
      </c>
      <c r="H1419" s="12">
        <f t="shared" si="22"/>
        <v>8333.5300000000007</v>
      </c>
    </row>
    <row r="1420" spans="1:8">
      <c r="A1420" s="14">
        <v>1415</v>
      </c>
      <c r="B1420" s="9">
        <v>45751</v>
      </c>
      <c r="C1420" s="10" t="s">
        <v>5</v>
      </c>
      <c r="D1420" s="10" t="s">
        <v>76</v>
      </c>
      <c r="E1420" s="11" t="s">
        <v>80</v>
      </c>
      <c r="F1420" s="12">
        <v>7024.37</v>
      </c>
      <c r="G1420" s="13" t="s">
        <v>114</v>
      </c>
      <c r="H1420" s="12">
        <f t="shared" si="22"/>
        <v>7024.37</v>
      </c>
    </row>
    <row r="1421" spans="1:8">
      <c r="A1421" s="14">
        <v>1416</v>
      </c>
      <c r="B1421" s="9">
        <v>45751</v>
      </c>
      <c r="C1421" s="10" t="s">
        <v>5</v>
      </c>
      <c r="D1421" s="10" t="s">
        <v>75</v>
      </c>
      <c r="E1421" s="11" t="s">
        <v>82</v>
      </c>
      <c r="F1421" s="12">
        <v>5048.54</v>
      </c>
      <c r="G1421" s="13" t="s">
        <v>114</v>
      </c>
      <c r="H1421" s="12">
        <f t="shared" si="22"/>
        <v>5048.54</v>
      </c>
    </row>
    <row r="1422" spans="1:8">
      <c r="A1422" s="14">
        <v>1417</v>
      </c>
      <c r="B1422" s="9">
        <v>45751</v>
      </c>
      <c r="C1422" s="10" t="s">
        <v>5</v>
      </c>
      <c r="D1422" s="10" t="s">
        <v>75</v>
      </c>
      <c r="E1422" s="11" t="s">
        <v>89</v>
      </c>
      <c r="F1422" s="12">
        <v>6808.13</v>
      </c>
      <c r="G1422" s="13" t="s">
        <v>114</v>
      </c>
      <c r="H1422" s="12">
        <f t="shared" si="22"/>
        <v>6808.13</v>
      </c>
    </row>
    <row r="1423" spans="1:8">
      <c r="A1423" s="14">
        <v>1418</v>
      </c>
      <c r="B1423" s="9">
        <v>45752</v>
      </c>
      <c r="C1423" s="10" t="s">
        <v>5</v>
      </c>
      <c r="D1423" s="10" t="s">
        <v>75</v>
      </c>
      <c r="E1423" s="11" t="s">
        <v>82</v>
      </c>
      <c r="F1423" s="12">
        <v>3911.84</v>
      </c>
      <c r="G1423" s="13" t="s">
        <v>114</v>
      </c>
      <c r="H1423" s="12">
        <f t="shared" si="22"/>
        <v>3911.84</v>
      </c>
    </row>
    <row r="1424" spans="1:8">
      <c r="A1424" s="14">
        <v>1419</v>
      </c>
      <c r="B1424" s="9">
        <v>45752</v>
      </c>
      <c r="C1424" s="10" t="s">
        <v>5</v>
      </c>
      <c r="D1424" s="10" t="s">
        <v>75</v>
      </c>
      <c r="E1424" s="11" t="s">
        <v>93</v>
      </c>
      <c r="F1424" s="12">
        <v>6879.87</v>
      </c>
      <c r="G1424" s="13" t="s">
        <v>114</v>
      </c>
      <c r="H1424" s="12">
        <f t="shared" si="22"/>
        <v>6879.87</v>
      </c>
    </row>
    <row r="1425" spans="1:8">
      <c r="A1425" s="14">
        <v>1420</v>
      </c>
      <c r="B1425" s="9">
        <v>45753</v>
      </c>
      <c r="C1425" s="10" t="s">
        <v>5</v>
      </c>
      <c r="D1425" s="10" t="s">
        <v>76</v>
      </c>
      <c r="E1425" s="11" t="s">
        <v>87</v>
      </c>
      <c r="F1425" s="12">
        <v>442.13</v>
      </c>
      <c r="G1425" s="13" t="s">
        <v>114</v>
      </c>
      <c r="H1425" s="12">
        <f t="shared" si="22"/>
        <v>442.13</v>
      </c>
    </row>
    <row r="1426" spans="1:8">
      <c r="A1426" s="14">
        <v>1421</v>
      </c>
      <c r="B1426" s="9">
        <v>45754</v>
      </c>
      <c r="C1426" s="10" t="s">
        <v>5</v>
      </c>
      <c r="D1426" s="10" t="s">
        <v>76</v>
      </c>
      <c r="E1426" s="11" t="s">
        <v>95</v>
      </c>
      <c r="F1426" s="12">
        <v>1957.39</v>
      </c>
      <c r="G1426" s="13" t="s">
        <v>114</v>
      </c>
      <c r="H1426" s="12">
        <f t="shared" si="22"/>
        <v>1957.39</v>
      </c>
    </row>
    <row r="1427" spans="1:8">
      <c r="A1427" s="14">
        <v>1422</v>
      </c>
      <c r="B1427" s="9">
        <v>45754</v>
      </c>
      <c r="C1427" s="10" t="s">
        <v>5</v>
      </c>
      <c r="D1427" s="10" t="s">
        <v>75</v>
      </c>
      <c r="E1427" s="11" t="s">
        <v>78</v>
      </c>
      <c r="F1427" s="12">
        <v>3767.99</v>
      </c>
      <c r="G1427" s="13" t="s">
        <v>114</v>
      </c>
      <c r="H1427" s="12">
        <f t="shared" si="22"/>
        <v>3767.99</v>
      </c>
    </row>
    <row r="1428" spans="1:8">
      <c r="A1428" s="14">
        <v>1423</v>
      </c>
      <c r="B1428" s="9">
        <v>45754</v>
      </c>
      <c r="C1428" s="10" t="s">
        <v>5</v>
      </c>
      <c r="D1428" s="10" t="s">
        <v>76</v>
      </c>
      <c r="E1428" s="11" t="s">
        <v>80</v>
      </c>
      <c r="F1428" s="12">
        <v>6378.27</v>
      </c>
      <c r="G1428" s="13" t="s">
        <v>114</v>
      </c>
      <c r="H1428" s="12">
        <f t="shared" si="22"/>
        <v>6378.27</v>
      </c>
    </row>
    <row r="1429" spans="1:8">
      <c r="A1429" s="14">
        <v>1424</v>
      </c>
      <c r="B1429" s="9">
        <v>45754</v>
      </c>
      <c r="C1429" s="10" t="s">
        <v>5</v>
      </c>
      <c r="D1429" s="10" t="s">
        <v>75</v>
      </c>
      <c r="E1429" s="11" t="s">
        <v>97</v>
      </c>
      <c r="F1429" s="12">
        <v>1188.73</v>
      </c>
      <c r="G1429" s="13" t="s">
        <v>114</v>
      </c>
      <c r="H1429" s="12">
        <f t="shared" si="22"/>
        <v>1188.73</v>
      </c>
    </row>
    <row r="1430" spans="1:8">
      <c r="A1430" s="14">
        <v>1425</v>
      </c>
      <c r="B1430" s="9">
        <v>45755</v>
      </c>
      <c r="C1430" s="10" t="s">
        <v>5</v>
      </c>
      <c r="D1430" s="10" t="s">
        <v>75</v>
      </c>
      <c r="E1430" s="11" t="s">
        <v>97</v>
      </c>
      <c r="F1430" s="12">
        <v>2763.73</v>
      </c>
      <c r="G1430" s="13" t="s">
        <v>114</v>
      </c>
      <c r="H1430" s="12">
        <f t="shared" si="22"/>
        <v>2763.73</v>
      </c>
    </row>
    <row r="1431" spans="1:8">
      <c r="A1431" s="14">
        <v>1426</v>
      </c>
      <c r="B1431" s="9">
        <v>45756</v>
      </c>
      <c r="C1431" s="10" t="s">
        <v>5</v>
      </c>
      <c r="D1431" s="10" t="s">
        <v>76</v>
      </c>
      <c r="E1431" s="11" t="s">
        <v>99</v>
      </c>
      <c r="F1431" s="12">
        <v>3587.83</v>
      </c>
      <c r="G1431" s="13" t="s">
        <v>114</v>
      </c>
      <c r="H1431" s="12">
        <f t="shared" si="22"/>
        <v>3587.83</v>
      </c>
    </row>
    <row r="1432" spans="1:8">
      <c r="A1432" s="14">
        <v>1427</v>
      </c>
      <c r="B1432" s="9">
        <v>45756</v>
      </c>
      <c r="C1432" s="10" t="s">
        <v>5</v>
      </c>
      <c r="D1432" s="10" t="s">
        <v>76</v>
      </c>
      <c r="E1432" s="11" t="s">
        <v>87</v>
      </c>
      <c r="F1432" s="12">
        <v>742.51</v>
      </c>
      <c r="G1432" s="13" t="s">
        <v>114</v>
      </c>
      <c r="H1432" s="12">
        <f t="shared" si="22"/>
        <v>742.51</v>
      </c>
    </row>
    <row r="1433" spans="1:8">
      <c r="A1433" s="14">
        <v>1428</v>
      </c>
      <c r="B1433" s="9">
        <v>45757</v>
      </c>
      <c r="C1433" s="10" t="s">
        <v>5</v>
      </c>
      <c r="D1433" s="10" t="s">
        <v>75</v>
      </c>
      <c r="E1433" s="11" t="s">
        <v>89</v>
      </c>
      <c r="F1433" s="12">
        <v>1853.31</v>
      </c>
      <c r="G1433" s="13" t="s">
        <v>114</v>
      </c>
      <c r="H1433" s="12">
        <f t="shared" si="22"/>
        <v>1853.31</v>
      </c>
    </row>
    <row r="1434" spans="1:8">
      <c r="A1434" s="14">
        <v>1429</v>
      </c>
      <c r="B1434" s="9">
        <v>45757</v>
      </c>
      <c r="C1434" s="10" t="s">
        <v>5</v>
      </c>
      <c r="D1434" s="10" t="s">
        <v>18</v>
      </c>
      <c r="E1434" s="11" t="s">
        <v>90</v>
      </c>
      <c r="F1434" s="12">
        <v>7059.48</v>
      </c>
      <c r="G1434" s="13" t="s">
        <v>114</v>
      </c>
      <c r="H1434" s="12">
        <f t="shared" si="22"/>
        <v>7059.48</v>
      </c>
    </row>
    <row r="1435" spans="1:8">
      <c r="A1435" s="14">
        <v>1430</v>
      </c>
      <c r="B1435" s="9">
        <v>45757</v>
      </c>
      <c r="C1435" s="10" t="s">
        <v>5</v>
      </c>
      <c r="D1435" s="10" t="s">
        <v>76</v>
      </c>
      <c r="E1435" s="11" t="s">
        <v>95</v>
      </c>
      <c r="F1435" s="12">
        <v>5045.71</v>
      </c>
      <c r="G1435" s="13" t="s">
        <v>114</v>
      </c>
      <c r="H1435" s="12">
        <f t="shared" si="22"/>
        <v>5045.71</v>
      </c>
    </row>
    <row r="1436" spans="1:8">
      <c r="A1436" s="14">
        <v>1431</v>
      </c>
      <c r="B1436" s="9">
        <v>45757</v>
      </c>
      <c r="C1436" s="10" t="s">
        <v>5</v>
      </c>
      <c r="D1436" s="10" t="s">
        <v>75</v>
      </c>
      <c r="E1436" s="11" t="s">
        <v>93</v>
      </c>
      <c r="F1436" s="12">
        <v>4017.71</v>
      </c>
      <c r="G1436" s="13" t="s">
        <v>114</v>
      </c>
      <c r="H1436" s="12">
        <f t="shared" si="22"/>
        <v>4017.71</v>
      </c>
    </row>
    <row r="1437" spans="1:8">
      <c r="A1437" s="14">
        <v>1432</v>
      </c>
      <c r="B1437" s="9">
        <v>45758</v>
      </c>
      <c r="C1437" s="10" t="s">
        <v>5</v>
      </c>
      <c r="D1437" s="10" t="s">
        <v>76</v>
      </c>
      <c r="E1437" s="11" t="s">
        <v>99</v>
      </c>
      <c r="F1437" s="12">
        <v>2750.78</v>
      </c>
      <c r="G1437" s="13" t="s">
        <v>114</v>
      </c>
      <c r="H1437" s="12">
        <f t="shared" si="22"/>
        <v>2750.78</v>
      </c>
    </row>
    <row r="1438" spans="1:8">
      <c r="A1438" s="14">
        <v>1433</v>
      </c>
      <c r="B1438" s="9">
        <v>45758</v>
      </c>
      <c r="C1438" s="10" t="s">
        <v>5</v>
      </c>
      <c r="D1438" s="10" t="s">
        <v>76</v>
      </c>
      <c r="E1438" s="11" t="s">
        <v>102</v>
      </c>
      <c r="F1438" s="12">
        <v>5578.28</v>
      </c>
      <c r="G1438" s="13" t="s">
        <v>114</v>
      </c>
      <c r="H1438" s="12">
        <f t="shared" si="22"/>
        <v>5578.28</v>
      </c>
    </row>
    <row r="1439" spans="1:8">
      <c r="A1439" s="14">
        <v>1434</v>
      </c>
      <c r="B1439" s="9">
        <v>45758</v>
      </c>
      <c r="C1439" s="10" t="s">
        <v>5</v>
      </c>
      <c r="D1439" s="10" t="s">
        <v>75</v>
      </c>
      <c r="E1439" s="11" t="s">
        <v>78</v>
      </c>
      <c r="F1439" s="12">
        <v>2778.19</v>
      </c>
      <c r="G1439" s="13" t="s">
        <v>114</v>
      </c>
      <c r="H1439" s="12">
        <f t="shared" si="22"/>
        <v>2778.19</v>
      </c>
    </row>
    <row r="1440" spans="1:8">
      <c r="A1440" s="14">
        <v>1435</v>
      </c>
      <c r="B1440" s="9">
        <v>45758</v>
      </c>
      <c r="C1440" s="10" t="s">
        <v>5</v>
      </c>
      <c r="D1440" s="10" t="s">
        <v>75</v>
      </c>
      <c r="E1440" s="11" t="s">
        <v>78</v>
      </c>
      <c r="F1440" s="12">
        <v>2906.99</v>
      </c>
      <c r="G1440" s="13" t="s">
        <v>114</v>
      </c>
      <c r="H1440" s="12">
        <f t="shared" si="22"/>
        <v>2906.99</v>
      </c>
    </row>
    <row r="1441" spans="1:8">
      <c r="A1441" s="14">
        <v>1436</v>
      </c>
      <c r="B1441" s="9">
        <v>45758</v>
      </c>
      <c r="C1441" s="10" t="s">
        <v>5</v>
      </c>
      <c r="D1441" s="10" t="s">
        <v>75</v>
      </c>
      <c r="E1441" s="11" t="s">
        <v>111</v>
      </c>
      <c r="F1441" s="12">
        <v>2410.54</v>
      </c>
      <c r="G1441" s="13" t="s">
        <v>114</v>
      </c>
      <c r="H1441" s="12">
        <f t="shared" si="22"/>
        <v>2410.54</v>
      </c>
    </row>
    <row r="1442" spans="1:8">
      <c r="A1442" s="14">
        <v>1437</v>
      </c>
      <c r="B1442" s="9">
        <v>45759</v>
      </c>
      <c r="C1442" s="10" t="s">
        <v>5</v>
      </c>
      <c r="D1442" s="10" t="s">
        <v>75</v>
      </c>
      <c r="E1442" s="11" t="s">
        <v>78</v>
      </c>
      <c r="F1442" s="12">
        <v>4130.2700000000004</v>
      </c>
      <c r="G1442" s="13" t="s">
        <v>114</v>
      </c>
      <c r="H1442" s="12">
        <f t="shared" si="22"/>
        <v>4130.2700000000004</v>
      </c>
    </row>
    <row r="1443" spans="1:8">
      <c r="A1443" s="14">
        <v>1438</v>
      </c>
      <c r="B1443" s="9">
        <v>45759</v>
      </c>
      <c r="C1443" s="10" t="s">
        <v>5</v>
      </c>
      <c r="D1443" s="10" t="s">
        <v>76</v>
      </c>
      <c r="E1443" s="11" t="s">
        <v>80</v>
      </c>
      <c r="F1443" s="12">
        <v>8181.36</v>
      </c>
      <c r="G1443" s="13" t="s">
        <v>114</v>
      </c>
      <c r="H1443" s="12">
        <f t="shared" si="22"/>
        <v>8181.36</v>
      </c>
    </row>
    <row r="1444" spans="1:8">
      <c r="A1444" s="14">
        <v>1439</v>
      </c>
      <c r="B1444" s="9">
        <v>45759</v>
      </c>
      <c r="C1444" s="10" t="s">
        <v>5</v>
      </c>
      <c r="D1444" s="10" t="s">
        <v>77</v>
      </c>
      <c r="E1444" s="11" t="s">
        <v>92</v>
      </c>
      <c r="F1444" s="12">
        <v>4457.58</v>
      </c>
      <c r="G1444" s="13" t="s">
        <v>114</v>
      </c>
      <c r="H1444" s="12">
        <f t="shared" si="22"/>
        <v>4457.58</v>
      </c>
    </row>
    <row r="1445" spans="1:8">
      <c r="A1445" s="14">
        <v>1440</v>
      </c>
      <c r="B1445" s="9">
        <v>45761</v>
      </c>
      <c r="C1445" s="10" t="s">
        <v>5</v>
      </c>
      <c r="D1445" s="10" t="s">
        <v>76</v>
      </c>
      <c r="E1445" s="11" t="s">
        <v>95</v>
      </c>
      <c r="F1445" s="12">
        <v>1387.22</v>
      </c>
      <c r="G1445" s="13" t="s">
        <v>114</v>
      </c>
      <c r="H1445" s="12">
        <f t="shared" si="22"/>
        <v>1387.22</v>
      </c>
    </row>
    <row r="1446" spans="1:8">
      <c r="A1446" s="14">
        <v>1441</v>
      </c>
      <c r="B1446" s="9">
        <v>45761</v>
      </c>
      <c r="C1446" s="10" t="s">
        <v>5</v>
      </c>
      <c r="D1446" s="10" t="s">
        <v>76</v>
      </c>
      <c r="E1446" s="11" t="s">
        <v>87</v>
      </c>
      <c r="F1446" s="12">
        <v>388.33</v>
      </c>
      <c r="G1446" s="13" t="s">
        <v>114</v>
      </c>
      <c r="H1446" s="12">
        <f t="shared" si="22"/>
        <v>388.33</v>
      </c>
    </row>
    <row r="1447" spans="1:8">
      <c r="A1447" s="14">
        <v>1442</v>
      </c>
      <c r="B1447" s="9">
        <v>45762</v>
      </c>
      <c r="C1447" s="10" t="s">
        <v>5</v>
      </c>
      <c r="D1447" s="10" t="s">
        <v>76</v>
      </c>
      <c r="E1447" s="11" t="s">
        <v>102</v>
      </c>
      <c r="F1447" s="12">
        <v>6259.23</v>
      </c>
      <c r="G1447" s="13" t="s">
        <v>114</v>
      </c>
      <c r="H1447" s="12">
        <f t="shared" si="22"/>
        <v>6259.23</v>
      </c>
    </row>
    <row r="1448" spans="1:8">
      <c r="A1448" s="14">
        <v>1443</v>
      </c>
      <c r="B1448" s="9">
        <v>45763</v>
      </c>
      <c r="C1448" s="10" t="s">
        <v>5</v>
      </c>
      <c r="D1448" s="10" t="s">
        <v>75</v>
      </c>
      <c r="E1448" s="11" t="s">
        <v>111</v>
      </c>
      <c r="F1448" s="12">
        <v>1154.6500000000001</v>
      </c>
      <c r="G1448" s="13" t="s">
        <v>114</v>
      </c>
      <c r="H1448" s="12">
        <f t="shared" si="22"/>
        <v>1154.6500000000001</v>
      </c>
    </row>
    <row r="1449" spans="1:8">
      <c r="A1449" s="14">
        <v>1444</v>
      </c>
      <c r="B1449" s="9">
        <v>45763</v>
      </c>
      <c r="C1449" s="10" t="s">
        <v>5</v>
      </c>
      <c r="D1449" s="10" t="s">
        <v>18</v>
      </c>
      <c r="E1449" s="11" t="s">
        <v>94</v>
      </c>
      <c r="F1449" s="12">
        <v>13718.05</v>
      </c>
      <c r="G1449" s="13" t="s">
        <v>114</v>
      </c>
      <c r="H1449" s="12">
        <f t="shared" si="22"/>
        <v>13718.05</v>
      </c>
    </row>
    <row r="1450" spans="1:8">
      <c r="A1450" s="14">
        <v>1445</v>
      </c>
      <c r="B1450" s="9">
        <v>45764</v>
      </c>
      <c r="C1450" s="10" t="s">
        <v>5</v>
      </c>
      <c r="D1450" s="10" t="s">
        <v>76</v>
      </c>
      <c r="E1450" s="11" t="s">
        <v>80</v>
      </c>
      <c r="F1450" s="12">
        <v>5957.09</v>
      </c>
      <c r="G1450" s="13" t="s">
        <v>114</v>
      </c>
      <c r="H1450" s="12">
        <f t="shared" si="22"/>
        <v>5957.09</v>
      </c>
    </row>
    <row r="1451" spans="1:8">
      <c r="A1451" s="14">
        <v>1446</v>
      </c>
      <c r="B1451" s="9">
        <v>45764</v>
      </c>
      <c r="C1451" s="10" t="s">
        <v>5</v>
      </c>
      <c r="D1451" s="10" t="s">
        <v>75</v>
      </c>
      <c r="E1451" s="11" t="s">
        <v>111</v>
      </c>
      <c r="F1451" s="12">
        <v>6541.06</v>
      </c>
      <c r="G1451" s="13" t="s">
        <v>114</v>
      </c>
      <c r="H1451" s="12">
        <f t="shared" si="22"/>
        <v>6541.06</v>
      </c>
    </row>
    <row r="1452" spans="1:8">
      <c r="A1452" s="14">
        <v>1447</v>
      </c>
      <c r="B1452" s="9">
        <v>45764</v>
      </c>
      <c r="C1452" s="10" t="s">
        <v>5</v>
      </c>
      <c r="D1452" s="10" t="s">
        <v>76</v>
      </c>
      <c r="E1452" s="11" t="s">
        <v>87</v>
      </c>
      <c r="F1452" s="12">
        <v>2063.7800000000002</v>
      </c>
      <c r="G1452" s="13" t="s">
        <v>114</v>
      </c>
      <c r="H1452" s="12">
        <f t="shared" si="22"/>
        <v>2063.7800000000002</v>
      </c>
    </row>
    <row r="1453" spans="1:8">
      <c r="A1453" s="14">
        <v>1448</v>
      </c>
      <c r="B1453" s="9">
        <v>45765</v>
      </c>
      <c r="C1453" s="10" t="s">
        <v>5</v>
      </c>
      <c r="D1453" s="10" t="s">
        <v>76</v>
      </c>
      <c r="E1453" s="11" t="s">
        <v>99</v>
      </c>
      <c r="F1453" s="12">
        <v>3918.24</v>
      </c>
      <c r="G1453" s="13" t="s">
        <v>114</v>
      </c>
      <c r="H1453" s="12">
        <f t="shared" si="22"/>
        <v>3918.24</v>
      </c>
    </row>
    <row r="1454" spans="1:8">
      <c r="A1454" s="14">
        <v>1449</v>
      </c>
      <c r="B1454" s="9">
        <v>45766</v>
      </c>
      <c r="C1454" s="10" t="s">
        <v>5</v>
      </c>
      <c r="D1454" s="10" t="s">
        <v>75</v>
      </c>
      <c r="E1454" s="11" t="s">
        <v>82</v>
      </c>
      <c r="F1454" s="12">
        <v>2527.7199999999998</v>
      </c>
      <c r="G1454" s="13" t="s">
        <v>114</v>
      </c>
      <c r="H1454" s="12">
        <f t="shared" si="22"/>
        <v>2527.7199999999998</v>
      </c>
    </row>
    <row r="1455" spans="1:8">
      <c r="A1455" s="14">
        <v>1450</v>
      </c>
      <c r="B1455" s="9">
        <v>45766</v>
      </c>
      <c r="C1455" s="10" t="s">
        <v>5</v>
      </c>
      <c r="D1455" s="10" t="s">
        <v>75</v>
      </c>
      <c r="E1455" s="11" t="s">
        <v>85</v>
      </c>
      <c r="F1455" s="12">
        <v>2840.43</v>
      </c>
      <c r="G1455" s="13" t="s">
        <v>114</v>
      </c>
      <c r="H1455" s="12">
        <f t="shared" si="22"/>
        <v>2840.43</v>
      </c>
    </row>
    <row r="1456" spans="1:8">
      <c r="A1456" s="14">
        <v>1451</v>
      </c>
      <c r="B1456" s="9">
        <v>45767</v>
      </c>
      <c r="C1456" s="10" t="s">
        <v>5</v>
      </c>
      <c r="D1456" s="10" t="s">
        <v>76</v>
      </c>
      <c r="E1456" s="11" t="s">
        <v>87</v>
      </c>
      <c r="F1456" s="12">
        <v>553.79</v>
      </c>
      <c r="G1456" s="13" t="s">
        <v>114</v>
      </c>
      <c r="H1456" s="12">
        <f t="shared" si="22"/>
        <v>553.79</v>
      </c>
    </row>
    <row r="1457" spans="1:8">
      <c r="A1457" s="14">
        <v>1452</v>
      </c>
      <c r="B1457" s="9">
        <v>45767</v>
      </c>
      <c r="C1457" s="10" t="s">
        <v>5</v>
      </c>
      <c r="D1457" s="10" t="s">
        <v>76</v>
      </c>
      <c r="E1457" s="11" t="s">
        <v>87</v>
      </c>
      <c r="F1457" s="12">
        <v>1622.74</v>
      </c>
      <c r="G1457" s="13" t="s">
        <v>114</v>
      </c>
      <c r="H1457" s="12">
        <f t="shared" si="22"/>
        <v>1622.74</v>
      </c>
    </row>
    <row r="1458" spans="1:8">
      <c r="A1458" s="14">
        <v>1453</v>
      </c>
      <c r="B1458" s="9">
        <v>45767</v>
      </c>
      <c r="C1458" s="10" t="s">
        <v>5</v>
      </c>
      <c r="D1458" s="10" t="s">
        <v>18</v>
      </c>
      <c r="E1458" s="11" t="s">
        <v>86</v>
      </c>
      <c r="F1458" s="12">
        <v>15292</v>
      </c>
      <c r="G1458" s="13" t="s">
        <v>114</v>
      </c>
      <c r="H1458" s="12">
        <f t="shared" si="22"/>
        <v>15292</v>
      </c>
    </row>
    <row r="1459" spans="1:8">
      <c r="A1459" s="14">
        <v>1454</v>
      </c>
      <c r="B1459" s="9">
        <v>45768</v>
      </c>
      <c r="C1459" s="10" t="s">
        <v>5</v>
      </c>
      <c r="D1459" s="10" t="s">
        <v>18</v>
      </c>
      <c r="E1459" s="11" t="s">
        <v>94</v>
      </c>
      <c r="F1459" s="12">
        <v>9326.56</v>
      </c>
      <c r="G1459" s="13" t="s">
        <v>114</v>
      </c>
      <c r="H1459" s="12">
        <f t="shared" si="22"/>
        <v>9326.56</v>
      </c>
    </row>
    <row r="1460" spans="1:8">
      <c r="A1460" s="14">
        <v>1455</v>
      </c>
      <c r="B1460" s="9">
        <v>45768</v>
      </c>
      <c r="C1460" s="10" t="s">
        <v>5</v>
      </c>
      <c r="D1460" s="10" t="s">
        <v>75</v>
      </c>
      <c r="E1460" s="11" t="s">
        <v>89</v>
      </c>
      <c r="F1460" s="12">
        <v>6154.61</v>
      </c>
      <c r="G1460" s="13" t="s">
        <v>114</v>
      </c>
      <c r="H1460" s="12">
        <f t="shared" si="22"/>
        <v>6154.61</v>
      </c>
    </row>
    <row r="1461" spans="1:8">
      <c r="A1461" s="14">
        <v>1456</v>
      </c>
      <c r="B1461" s="9">
        <v>45768</v>
      </c>
      <c r="C1461" s="10" t="s">
        <v>5</v>
      </c>
      <c r="D1461" s="10" t="s">
        <v>75</v>
      </c>
      <c r="E1461" s="11" t="s">
        <v>78</v>
      </c>
      <c r="F1461" s="12">
        <v>6092.63</v>
      </c>
      <c r="G1461" s="13" t="s">
        <v>114</v>
      </c>
      <c r="H1461" s="12">
        <f t="shared" si="22"/>
        <v>6092.63</v>
      </c>
    </row>
    <row r="1462" spans="1:8">
      <c r="A1462" s="14">
        <v>1457</v>
      </c>
      <c r="B1462" s="9">
        <v>45768</v>
      </c>
      <c r="C1462" s="10" t="s">
        <v>5</v>
      </c>
      <c r="D1462" s="10" t="s">
        <v>75</v>
      </c>
      <c r="E1462" s="11" t="s">
        <v>111</v>
      </c>
      <c r="F1462" s="12">
        <v>539.61</v>
      </c>
      <c r="G1462" s="13" t="s">
        <v>114</v>
      </c>
      <c r="H1462" s="12">
        <f t="shared" si="22"/>
        <v>539.61</v>
      </c>
    </row>
    <row r="1463" spans="1:8">
      <c r="A1463" s="14">
        <v>1458</v>
      </c>
      <c r="B1463" s="9">
        <v>45769</v>
      </c>
      <c r="C1463" s="10" t="s">
        <v>5</v>
      </c>
      <c r="D1463" s="10" t="s">
        <v>76</v>
      </c>
      <c r="E1463" s="11" t="s">
        <v>102</v>
      </c>
      <c r="F1463" s="12">
        <v>7324.66</v>
      </c>
      <c r="G1463" s="13" t="s">
        <v>114</v>
      </c>
      <c r="H1463" s="12">
        <f t="shared" si="22"/>
        <v>7324.66</v>
      </c>
    </row>
    <row r="1464" spans="1:8">
      <c r="A1464" s="14">
        <v>1459</v>
      </c>
      <c r="B1464" s="9">
        <v>45770</v>
      </c>
      <c r="C1464" s="10" t="s">
        <v>5</v>
      </c>
      <c r="D1464" s="10" t="s">
        <v>76</v>
      </c>
      <c r="E1464" s="11" t="s">
        <v>80</v>
      </c>
      <c r="F1464" s="12">
        <v>5455.75</v>
      </c>
      <c r="G1464" s="13" t="s">
        <v>114</v>
      </c>
      <c r="H1464" s="12">
        <f t="shared" si="22"/>
        <v>5455.75</v>
      </c>
    </row>
    <row r="1465" spans="1:8">
      <c r="A1465" s="14">
        <v>1460</v>
      </c>
      <c r="B1465" s="9">
        <v>45770</v>
      </c>
      <c r="C1465" s="10" t="s">
        <v>5</v>
      </c>
      <c r="D1465" s="10" t="s">
        <v>75</v>
      </c>
      <c r="E1465" s="11" t="s">
        <v>101</v>
      </c>
      <c r="F1465" s="12">
        <v>10582.55</v>
      </c>
      <c r="G1465" s="13" t="s">
        <v>114</v>
      </c>
      <c r="H1465" s="12">
        <f t="shared" si="22"/>
        <v>10582.55</v>
      </c>
    </row>
    <row r="1466" spans="1:8">
      <c r="A1466" s="14">
        <v>1461</v>
      </c>
      <c r="B1466" s="9">
        <v>45770</v>
      </c>
      <c r="C1466" s="10" t="s">
        <v>5</v>
      </c>
      <c r="D1466" s="10" t="s">
        <v>75</v>
      </c>
      <c r="E1466" s="11" t="s">
        <v>78</v>
      </c>
      <c r="F1466" s="12">
        <v>11392.64</v>
      </c>
      <c r="G1466" s="13" t="s">
        <v>114</v>
      </c>
      <c r="H1466" s="12">
        <f t="shared" si="22"/>
        <v>11392.64</v>
      </c>
    </row>
    <row r="1467" spans="1:8">
      <c r="A1467" s="14">
        <v>1462</v>
      </c>
      <c r="B1467" s="9">
        <v>45770</v>
      </c>
      <c r="C1467" s="10" t="s">
        <v>5</v>
      </c>
      <c r="D1467" s="10" t="s">
        <v>75</v>
      </c>
      <c r="E1467" s="11" t="s">
        <v>97</v>
      </c>
      <c r="F1467" s="12">
        <v>2779.33</v>
      </c>
      <c r="G1467" s="13" t="s">
        <v>114</v>
      </c>
      <c r="H1467" s="12">
        <f t="shared" si="22"/>
        <v>2779.33</v>
      </c>
    </row>
    <row r="1468" spans="1:8">
      <c r="A1468" s="14">
        <v>1463</v>
      </c>
      <c r="B1468" s="9">
        <v>45771</v>
      </c>
      <c r="C1468" s="10" t="s">
        <v>5</v>
      </c>
      <c r="D1468" s="10" t="s">
        <v>76</v>
      </c>
      <c r="E1468" s="11" t="s">
        <v>91</v>
      </c>
      <c r="F1468" s="12">
        <v>5615.95</v>
      </c>
      <c r="G1468" s="13" t="s">
        <v>114</v>
      </c>
      <c r="H1468" s="12">
        <f t="shared" si="22"/>
        <v>5615.95</v>
      </c>
    </row>
    <row r="1469" spans="1:8">
      <c r="A1469" s="14">
        <v>1464</v>
      </c>
      <c r="B1469" s="9">
        <v>45771</v>
      </c>
      <c r="C1469" s="10" t="s">
        <v>5</v>
      </c>
      <c r="D1469" s="10" t="s">
        <v>76</v>
      </c>
      <c r="E1469" s="11" t="s">
        <v>99</v>
      </c>
      <c r="F1469" s="12">
        <v>7202.79</v>
      </c>
      <c r="G1469" s="13" t="s">
        <v>114</v>
      </c>
      <c r="H1469" s="12">
        <f t="shared" si="22"/>
        <v>7202.79</v>
      </c>
    </row>
    <row r="1470" spans="1:8">
      <c r="A1470" s="14">
        <v>1465</v>
      </c>
      <c r="B1470" s="9">
        <v>45772</v>
      </c>
      <c r="C1470" s="10" t="s">
        <v>5</v>
      </c>
      <c r="D1470" s="10" t="s">
        <v>76</v>
      </c>
      <c r="E1470" s="11" t="s">
        <v>87</v>
      </c>
      <c r="F1470" s="12">
        <v>884.56</v>
      </c>
      <c r="G1470" s="13" t="s">
        <v>114</v>
      </c>
      <c r="H1470" s="12">
        <f t="shared" si="22"/>
        <v>884.56</v>
      </c>
    </row>
    <row r="1471" spans="1:8">
      <c r="A1471" s="14">
        <v>1466</v>
      </c>
      <c r="B1471" s="9">
        <v>45772</v>
      </c>
      <c r="C1471" s="10" t="s">
        <v>5</v>
      </c>
      <c r="D1471" s="10" t="s">
        <v>77</v>
      </c>
      <c r="E1471" s="11" t="s">
        <v>103</v>
      </c>
      <c r="F1471" s="12">
        <v>46607.74</v>
      </c>
      <c r="G1471" s="13" t="s">
        <v>114</v>
      </c>
      <c r="H1471" s="12">
        <f t="shared" si="22"/>
        <v>46607.74</v>
      </c>
    </row>
    <row r="1472" spans="1:8">
      <c r="A1472" s="14">
        <v>1467</v>
      </c>
      <c r="B1472" s="9">
        <v>45772</v>
      </c>
      <c r="C1472" s="10" t="s">
        <v>5</v>
      </c>
      <c r="D1472" s="10" t="s">
        <v>75</v>
      </c>
      <c r="E1472" s="11" t="s">
        <v>78</v>
      </c>
      <c r="F1472" s="12">
        <v>7966.65</v>
      </c>
      <c r="G1472" s="13" t="s">
        <v>114</v>
      </c>
      <c r="H1472" s="12">
        <f t="shared" si="22"/>
        <v>7966.65</v>
      </c>
    </row>
    <row r="1473" spans="1:8">
      <c r="A1473" s="14">
        <v>1468</v>
      </c>
      <c r="B1473" s="9">
        <v>45774</v>
      </c>
      <c r="C1473" s="10" t="s">
        <v>5</v>
      </c>
      <c r="D1473" s="10" t="s">
        <v>75</v>
      </c>
      <c r="E1473" s="11" t="s">
        <v>106</v>
      </c>
      <c r="F1473" s="12">
        <v>833.8</v>
      </c>
      <c r="G1473" s="13" t="s">
        <v>114</v>
      </c>
      <c r="H1473" s="12">
        <f t="shared" si="22"/>
        <v>833.8</v>
      </c>
    </row>
    <row r="1474" spans="1:8">
      <c r="A1474" s="14">
        <v>1469</v>
      </c>
      <c r="B1474" s="9">
        <v>45775</v>
      </c>
      <c r="C1474" s="10" t="s">
        <v>5</v>
      </c>
      <c r="D1474" s="10" t="s">
        <v>75</v>
      </c>
      <c r="E1474" s="11" t="s">
        <v>93</v>
      </c>
      <c r="F1474" s="12">
        <v>7084.04</v>
      </c>
      <c r="G1474" s="13" t="s">
        <v>114</v>
      </c>
      <c r="H1474" s="12">
        <f t="shared" si="22"/>
        <v>7084.04</v>
      </c>
    </row>
    <row r="1475" spans="1:8">
      <c r="A1475" s="14">
        <v>1470</v>
      </c>
      <c r="B1475" s="9">
        <v>45775</v>
      </c>
      <c r="C1475" s="10" t="s">
        <v>5</v>
      </c>
      <c r="D1475" s="10" t="s">
        <v>18</v>
      </c>
      <c r="E1475" s="11" t="s">
        <v>104</v>
      </c>
      <c r="F1475" s="12">
        <v>3630.53</v>
      </c>
      <c r="G1475" s="13" t="s">
        <v>114</v>
      </c>
      <c r="H1475" s="12">
        <f t="shared" si="22"/>
        <v>3630.53</v>
      </c>
    </row>
    <row r="1476" spans="1:8">
      <c r="A1476" s="14">
        <v>1471</v>
      </c>
      <c r="B1476" s="9">
        <v>45775</v>
      </c>
      <c r="C1476" s="10" t="s">
        <v>5</v>
      </c>
      <c r="D1476" s="10" t="s">
        <v>76</v>
      </c>
      <c r="E1476" s="11" t="s">
        <v>83</v>
      </c>
      <c r="F1476" s="12">
        <v>24526</v>
      </c>
      <c r="G1476" s="13" t="s">
        <v>114</v>
      </c>
      <c r="H1476" s="12">
        <f t="shared" si="22"/>
        <v>24526</v>
      </c>
    </row>
    <row r="1477" spans="1:8">
      <c r="A1477" s="14">
        <v>1472</v>
      </c>
      <c r="B1477" s="9">
        <v>45775</v>
      </c>
      <c r="C1477" s="10" t="s">
        <v>5</v>
      </c>
      <c r="D1477" s="10" t="s">
        <v>75</v>
      </c>
      <c r="E1477" s="11" t="s">
        <v>111</v>
      </c>
      <c r="F1477" s="12">
        <v>3866.48</v>
      </c>
      <c r="G1477" s="13" t="s">
        <v>114</v>
      </c>
      <c r="H1477" s="12">
        <f t="shared" ref="H1477:H1540" si="23">IF(C1477="Despesa", F1477*-1, F1477)</f>
        <v>3866.48</v>
      </c>
    </row>
    <row r="1478" spans="1:8">
      <c r="A1478" s="14">
        <v>1473</v>
      </c>
      <c r="B1478" s="9">
        <v>45776</v>
      </c>
      <c r="C1478" s="10" t="s">
        <v>5</v>
      </c>
      <c r="D1478" s="10" t="s">
        <v>18</v>
      </c>
      <c r="E1478" s="11" t="s">
        <v>94</v>
      </c>
      <c r="F1478" s="12">
        <v>14589.06</v>
      </c>
      <c r="G1478" s="13" t="s">
        <v>114</v>
      </c>
      <c r="H1478" s="12">
        <f t="shared" si="23"/>
        <v>14589.06</v>
      </c>
    </row>
    <row r="1479" spans="1:8">
      <c r="A1479" s="14">
        <v>1474</v>
      </c>
      <c r="B1479" s="9">
        <v>45776</v>
      </c>
      <c r="C1479" s="10" t="s">
        <v>5</v>
      </c>
      <c r="D1479" s="10" t="s">
        <v>18</v>
      </c>
      <c r="E1479" s="11" t="s">
        <v>107</v>
      </c>
      <c r="F1479" s="12">
        <v>9310.4</v>
      </c>
      <c r="G1479" s="13" t="s">
        <v>114</v>
      </c>
      <c r="H1479" s="12">
        <f t="shared" si="23"/>
        <v>9310.4</v>
      </c>
    </row>
    <row r="1480" spans="1:8">
      <c r="A1480" s="14">
        <v>1475</v>
      </c>
      <c r="B1480" s="9">
        <v>45776</v>
      </c>
      <c r="C1480" s="10" t="s">
        <v>5</v>
      </c>
      <c r="D1480" s="10" t="s">
        <v>75</v>
      </c>
      <c r="E1480" s="11" t="s">
        <v>78</v>
      </c>
      <c r="F1480" s="12">
        <v>6131</v>
      </c>
      <c r="G1480" s="13" t="s">
        <v>114</v>
      </c>
      <c r="H1480" s="12">
        <f t="shared" si="23"/>
        <v>6131</v>
      </c>
    </row>
    <row r="1481" spans="1:8">
      <c r="A1481" s="14">
        <v>1476</v>
      </c>
      <c r="B1481" s="9">
        <v>45776</v>
      </c>
      <c r="C1481" s="10" t="s">
        <v>5</v>
      </c>
      <c r="D1481" s="10" t="s">
        <v>76</v>
      </c>
      <c r="E1481" s="11" t="s">
        <v>102</v>
      </c>
      <c r="F1481" s="12">
        <v>5577.45</v>
      </c>
      <c r="G1481" s="13" t="s">
        <v>114</v>
      </c>
      <c r="H1481" s="12">
        <f t="shared" si="23"/>
        <v>5577.45</v>
      </c>
    </row>
    <row r="1482" spans="1:8">
      <c r="A1482" s="14">
        <v>1477</v>
      </c>
      <c r="B1482" s="9">
        <v>45777</v>
      </c>
      <c r="C1482" s="10" t="s">
        <v>5</v>
      </c>
      <c r="D1482" s="10" t="s">
        <v>76</v>
      </c>
      <c r="E1482" s="11" t="s">
        <v>80</v>
      </c>
      <c r="F1482" s="12">
        <v>4543.72</v>
      </c>
      <c r="G1482" s="13" t="s">
        <v>114</v>
      </c>
      <c r="H1482" s="12">
        <f t="shared" si="23"/>
        <v>4543.72</v>
      </c>
    </row>
    <row r="1483" spans="1:8">
      <c r="A1483" s="14">
        <v>1478</v>
      </c>
      <c r="B1483" s="9">
        <v>45777</v>
      </c>
      <c r="C1483" s="10" t="s">
        <v>5</v>
      </c>
      <c r="D1483" s="10" t="s">
        <v>76</v>
      </c>
      <c r="E1483" s="11" t="s">
        <v>99</v>
      </c>
      <c r="F1483" s="12">
        <v>2118.86</v>
      </c>
      <c r="G1483" s="13" t="s">
        <v>114</v>
      </c>
      <c r="H1483" s="12">
        <f t="shared" si="23"/>
        <v>2118.86</v>
      </c>
    </row>
    <row r="1484" spans="1:8">
      <c r="A1484" s="14">
        <v>1479</v>
      </c>
      <c r="B1484" s="9">
        <v>45777</v>
      </c>
      <c r="C1484" s="10" t="s">
        <v>5</v>
      </c>
      <c r="D1484" s="10" t="s">
        <v>18</v>
      </c>
      <c r="E1484" s="11" t="s">
        <v>90</v>
      </c>
      <c r="F1484" s="12">
        <v>4635.24</v>
      </c>
      <c r="G1484" s="13" t="s">
        <v>114</v>
      </c>
      <c r="H1484" s="12">
        <f t="shared" si="23"/>
        <v>4635.24</v>
      </c>
    </row>
    <row r="1485" spans="1:8">
      <c r="A1485" s="14">
        <v>1480</v>
      </c>
      <c r="B1485" s="9">
        <v>45778</v>
      </c>
      <c r="C1485" s="10" t="s">
        <v>5</v>
      </c>
      <c r="D1485" s="10" t="s">
        <v>75</v>
      </c>
      <c r="E1485" s="11" t="s">
        <v>93</v>
      </c>
      <c r="F1485" s="12">
        <v>6558.95</v>
      </c>
      <c r="G1485" s="13" t="s">
        <v>114</v>
      </c>
      <c r="H1485" s="12">
        <f t="shared" si="23"/>
        <v>6558.95</v>
      </c>
    </row>
    <row r="1486" spans="1:8">
      <c r="A1486" s="14">
        <v>1481</v>
      </c>
      <c r="B1486" s="9">
        <v>45779</v>
      </c>
      <c r="C1486" s="10" t="s">
        <v>5</v>
      </c>
      <c r="D1486" s="10" t="s">
        <v>75</v>
      </c>
      <c r="E1486" s="11" t="s">
        <v>82</v>
      </c>
      <c r="F1486" s="12">
        <v>5048.2</v>
      </c>
      <c r="G1486" s="13" t="s">
        <v>114</v>
      </c>
      <c r="H1486" s="12">
        <f t="shared" si="23"/>
        <v>5048.2</v>
      </c>
    </row>
    <row r="1487" spans="1:8">
      <c r="A1487" s="14">
        <v>1482</v>
      </c>
      <c r="B1487" s="9">
        <v>45779</v>
      </c>
      <c r="C1487" s="10" t="s">
        <v>5</v>
      </c>
      <c r="D1487" s="10" t="s">
        <v>75</v>
      </c>
      <c r="E1487" s="11" t="s">
        <v>78</v>
      </c>
      <c r="F1487" s="12">
        <v>9562.84</v>
      </c>
      <c r="G1487" s="13" t="s">
        <v>114</v>
      </c>
      <c r="H1487" s="12">
        <f t="shared" si="23"/>
        <v>9562.84</v>
      </c>
    </row>
    <row r="1488" spans="1:8">
      <c r="A1488" s="14">
        <v>1483</v>
      </c>
      <c r="B1488" s="9">
        <v>45779</v>
      </c>
      <c r="C1488" s="10" t="s">
        <v>5</v>
      </c>
      <c r="D1488" s="10" t="s">
        <v>75</v>
      </c>
      <c r="E1488" s="11" t="s">
        <v>89</v>
      </c>
      <c r="F1488" s="12">
        <v>5818.41</v>
      </c>
      <c r="G1488" s="13" t="s">
        <v>114</v>
      </c>
      <c r="H1488" s="12">
        <f t="shared" si="23"/>
        <v>5818.41</v>
      </c>
    </row>
    <row r="1489" spans="1:8">
      <c r="A1489" s="14">
        <v>1484</v>
      </c>
      <c r="B1489" s="9">
        <v>45779</v>
      </c>
      <c r="C1489" s="10" t="s">
        <v>5</v>
      </c>
      <c r="D1489" s="10" t="s">
        <v>76</v>
      </c>
      <c r="E1489" s="11" t="s">
        <v>99</v>
      </c>
      <c r="F1489" s="12">
        <v>2165.35</v>
      </c>
      <c r="G1489" s="13" t="s">
        <v>114</v>
      </c>
      <c r="H1489" s="12">
        <f t="shared" si="23"/>
        <v>2165.35</v>
      </c>
    </row>
    <row r="1490" spans="1:8">
      <c r="A1490" s="14">
        <v>1485</v>
      </c>
      <c r="B1490" s="9">
        <v>45780</v>
      </c>
      <c r="C1490" s="10" t="s">
        <v>5</v>
      </c>
      <c r="D1490" s="10" t="s">
        <v>76</v>
      </c>
      <c r="E1490" s="11" t="s">
        <v>99</v>
      </c>
      <c r="F1490" s="12">
        <v>3478.92</v>
      </c>
      <c r="G1490" s="13" t="s">
        <v>114</v>
      </c>
      <c r="H1490" s="12">
        <f t="shared" si="23"/>
        <v>3478.92</v>
      </c>
    </row>
    <row r="1491" spans="1:8">
      <c r="A1491" s="14">
        <v>1486</v>
      </c>
      <c r="B1491" s="9">
        <v>45781</v>
      </c>
      <c r="C1491" s="10" t="s">
        <v>5</v>
      </c>
      <c r="D1491" s="10" t="s">
        <v>75</v>
      </c>
      <c r="E1491" s="11" t="s">
        <v>82</v>
      </c>
      <c r="F1491" s="12">
        <v>5127.78</v>
      </c>
      <c r="G1491" s="13" t="s">
        <v>114</v>
      </c>
      <c r="H1491" s="12">
        <f t="shared" si="23"/>
        <v>5127.78</v>
      </c>
    </row>
    <row r="1492" spans="1:8">
      <c r="A1492" s="14">
        <v>1487</v>
      </c>
      <c r="B1492" s="9">
        <v>45781</v>
      </c>
      <c r="C1492" s="10" t="s">
        <v>5</v>
      </c>
      <c r="D1492" s="10" t="s">
        <v>76</v>
      </c>
      <c r="E1492" s="11" t="s">
        <v>87</v>
      </c>
      <c r="F1492" s="12">
        <v>642.86</v>
      </c>
      <c r="G1492" s="13" t="s">
        <v>114</v>
      </c>
      <c r="H1492" s="12">
        <f t="shared" si="23"/>
        <v>642.86</v>
      </c>
    </row>
    <row r="1493" spans="1:8">
      <c r="A1493" s="14">
        <v>1488</v>
      </c>
      <c r="B1493" s="9">
        <v>45782</v>
      </c>
      <c r="C1493" s="10" t="s">
        <v>5</v>
      </c>
      <c r="D1493" s="10" t="s">
        <v>77</v>
      </c>
      <c r="E1493" s="11" t="s">
        <v>84</v>
      </c>
      <c r="F1493" s="12">
        <v>2133.14</v>
      </c>
      <c r="G1493" s="13" t="s">
        <v>114</v>
      </c>
      <c r="H1493" s="12">
        <f t="shared" si="23"/>
        <v>2133.14</v>
      </c>
    </row>
    <row r="1494" spans="1:8">
      <c r="A1494" s="14">
        <v>1489</v>
      </c>
      <c r="B1494" s="9">
        <v>45782</v>
      </c>
      <c r="C1494" s="10" t="s">
        <v>5</v>
      </c>
      <c r="D1494" s="10" t="s">
        <v>75</v>
      </c>
      <c r="E1494" s="11" t="s">
        <v>78</v>
      </c>
      <c r="F1494" s="12">
        <v>2023.42</v>
      </c>
      <c r="G1494" s="13" t="s">
        <v>114</v>
      </c>
      <c r="H1494" s="12">
        <f t="shared" si="23"/>
        <v>2023.42</v>
      </c>
    </row>
    <row r="1495" spans="1:8">
      <c r="A1495" s="14">
        <v>1490</v>
      </c>
      <c r="B1495" s="9">
        <v>45783</v>
      </c>
      <c r="C1495" s="10" t="s">
        <v>5</v>
      </c>
      <c r="D1495" s="10" t="s">
        <v>18</v>
      </c>
      <c r="E1495" s="11" t="s">
        <v>79</v>
      </c>
      <c r="F1495" s="12">
        <v>19642.61</v>
      </c>
      <c r="G1495" s="13" t="s">
        <v>114</v>
      </c>
      <c r="H1495" s="12">
        <f t="shared" si="23"/>
        <v>19642.61</v>
      </c>
    </row>
    <row r="1496" spans="1:8">
      <c r="A1496" s="14">
        <v>1491</v>
      </c>
      <c r="B1496" s="9">
        <v>45784</v>
      </c>
      <c r="C1496" s="10" t="s">
        <v>5</v>
      </c>
      <c r="D1496" s="10" t="s">
        <v>77</v>
      </c>
      <c r="E1496" s="11" t="s">
        <v>103</v>
      </c>
      <c r="F1496" s="12">
        <v>37123.230000000003</v>
      </c>
      <c r="G1496" s="13" t="s">
        <v>114</v>
      </c>
      <c r="H1496" s="12">
        <f t="shared" si="23"/>
        <v>37123.230000000003</v>
      </c>
    </row>
    <row r="1497" spans="1:8">
      <c r="A1497" s="14">
        <v>1492</v>
      </c>
      <c r="B1497" s="9">
        <v>45784</v>
      </c>
      <c r="C1497" s="10" t="s">
        <v>5</v>
      </c>
      <c r="D1497" s="10" t="s">
        <v>75</v>
      </c>
      <c r="E1497" s="11" t="s">
        <v>78</v>
      </c>
      <c r="F1497" s="12">
        <v>4217.2700000000004</v>
      </c>
      <c r="G1497" s="13" t="s">
        <v>114</v>
      </c>
      <c r="H1497" s="12">
        <f t="shared" si="23"/>
        <v>4217.2700000000004</v>
      </c>
    </row>
    <row r="1498" spans="1:8">
      <c r="A1498" s="14">
        <v>1493</v>
      </c>
      <c r="B1498" s="9">
        <v>45784</v>
      </c>
      <c r="C1498" s="10" t="s">
        <v>5</v>
      </c>
      <c r="D1498" s="10" t="s">
        <v>75</v>
      </c>
      <c r="E1498" s="11" t="s">
        <v>89</v>
      </c>
      <c r="F1498" s="12">
        <v>6247.38</v>
      </c>
      <c r="G1498" s="13" t="s">
        <v>114</v>
      </c>
      <c r="H1498" s="12">
        <f t="shared" si="23"/>
        <v>6247.38</v>
      </c>
    </row>
    <row r="1499" spans="1:8">
      <c r="A1499" s="14">
        <v>1494</v>
      </c>
      <c r="B1499" s="9">
        <v>45784</v>
      </c>
      <c r="C1499" s="10" t="s">
        <v>5</v>
      </c>
      <c r="D1499" s="10" t="s">
        <v>75</v>
      </c>
      <c r="E1499" s="11" t="s">
        <v>106</v>
      </c>
      <c r="F1499" s="12">
        <v>1308.6300000000001</v>
      </c>
      <c r="G1499" s="13" t="s">
        <v>114</v>
      </c>
      <c r="H1499" s="12">
        <f t="shared" si="23"/>
        <v>1308.6300000000001</v>
      </c>
    </row>
    <row r="1500" spans="1:8">
      <c r="A1500" s="14">
        <v>1495</v>
      </c>
      <c r="B1500" s="9">
        <v>45784</v>
      </c>
      <c r="C1500" s="10" t="s">
        <v>5</v>
      </c>
      <c r="D1500" s="10" t="s">
        <v>75</v>
      </c>
      <c r="E1500" s="11" t="s">
        <v>93</v>
      </c>
      <c r="F1500" s="12">
        <v>2282.88</v>
      </c>
      <c r="G1500" s="13" t="s">
        <v>114</v>
      </c>
      <c r="H1500" s="12">
        <f t="shared" si="23"/>
        <v>2282.88</v>
      </c>
    </row>
    <row r="1501" spans="1:8">
      <c r="A1501" s="14">
        <v>1496</v>
      </c>
      <c r="B1501" s="9">
        <v>45785</v>
      </c>
      <c r="C1501" s="10" t="s">
        <v>5</v>
      </c>
      <c r="D1501" s="10" t="s">
        <v>75</v>
      </c>
      <c r="E1501" s="11" t="s">
        <v>93</v>
      </c>
      <c r="F1501" s="12">
        <v>3230.9</v>
      </c>
      <c r="G1501" s="13" t="s">
        <v>114</v>
      </c>
      <c r="H1501" s="12">
        <f t="shared" si="23"/>
        <v>3230.9</v>
      </c>
    </row>
    <row r="1502" spans="1:8">
      <c r="A1502" s="14">
        <v>1497</v>
      </c>
      <c r="B1502" s="9">
        <v>45785</v>
      </c>
      <c r="C1502" s="10" t="s">
        <v>5</v>
      </c>
      <c r="D1502" s="10" t="s">
        <v>75</v>
      </c>
      <c r="E1502" s="11" t="s">
        <v>82</v>
      </c>
      <c r="F1502" s="12">
        <v>4550.8900000000003</v>
      </c>
      <c r="G1502" s="13" t="s">
        <v>114</v>
      </c>
      <c r="H1502" s="12">
        <f t="shared" si="23"/>
        <v>4550.8900000000003</v>
      </c>
    </row>
    <row r="1503" spans="1:8">
      <c r="A1503" s="14">
        <v>1498</v>
      </c>
      <c r="B1503" s="9">
        <v>45786</v>
      </c>
      <c r="C1503" s="10" t="s">
        <v>5</v>
      </c>
      <c r="D1503" s="10" t="s">
        <v>76</v>
      </c>
      <c r="E1503" s="11" t="s">
        <v>99</v>
      </c>
      <c r="F1503" s="12">
        <v>2749.01</v>
      </c>
      <c r="G1503" s="13" t="s">
        <v>114</v>
      </c>
      <c r="H1503" s="12">
        <f t="shared" si="23"/>
        <v>2749.01</v>
      </c>
    </row>
    <row r="1504" spans="1:8">
      <c r="A1504" s="14">
        <v>1499</v>
      </c>
      <c r="B1504" s="9">
        <v>45786</v>
      </c>
      <c r="C1504" s="10" t="s">
        <v>5</v>
      </c>
      <c r="D1504" s="10" t="s">
        <v>75</v>
      </c>
      <c r="E1504" s="11" t="s">
        <v>101</v>
      </c>
      <c r="F1504" s="12">
        <v>13483.88</v>
      </c>
      <c r="G1504" s="13" t="s">
        <v>114</v>
      </c>
      <c r="H1504" s="12">
        <f t="shared" si="23"/>
        <v>13483.88</v>
      </c>
    </row>
    <row r="1505" spans="1:8">
      <c r="A1505" s="14">
        <v>1500</v>
      </c>
      <c r="B1505" s="9">
        <v>45786</v>
      </c>
      <c r="C1505" s="10" t="s">
        <v>5</v>
      </c>
      <c r="D1505" s="10" t="s">
        <v>76</v>
      </c>
      <c r="E1505" s="11" t="s">
        <v>91</v>
      </c>
      <c r="F1505" s="12">
        <v>6645.87</v>
      </c>
      <c r="G1505" s="13" t="s">
        <v>114</v>
      </c>
      <c r="H1505" s="12">
        <f t="shared" si="23"/>
        <v>6645.87</v>
      </c>
    </row>
    <row r="1506" spans="1:8">
      <c r="A1506" s="14">
        <v>1501</v>
      </c>
      <c r="B1506" s="9">
        <v>45787</v>
      </c>
      <c r="C1506" s="10" t="s">
        <v>5</v>
      </c>
      <c r="D1506" s="10" t="s">
        <v>75</v>
      </c>
      <c r="E1506" s="11" t="s">
        <v>85</v>
      </c>
      <c r="F1506" s="12">
        <v>2402.54</v>
      </c>
      <c r="G1506" s="13" t="s">
        <v>114</v>
      </c>
      <c r="H1506" s="12">
        <f t="shared" si="23"/>
        <v>2402.54</v>
      </c>
    </row>
    <row r="1507" spans="1:8">
      <c r="A1507" s="14">
        <v>1502</v>
      </c>
      <c r="B1507" s="9">
        <v>45788</v>
      </c>
      <c r="C1507" s="10" t="s">
        <v>5</v>
      </c>
      <c r="D1507" s="10" t="s">
        <v>76</v>
      </c>
      <c r="E1507" s="11" t="s">
        <v>87</v>
      </c>
      <c r="F1507" s="12">
        <v>1051.55</v>
      </c>
      <c r="G1507" s="13" t="s">
        <v>114</v>
      </c>
      <c r="H1507" s="12">
        <f t="shared" si="23"/>
        <v>1051.55</v>
      </c>
    </row>
    <row r="1508" spans="1:8">
      <c r="A1508" s="14">
        <v>1503</v>
      </c>
      <c r="B1508" s="9">
        <v>45788</v>
      </c>
      <c r="C1508" s="10" t="s">
        <v>5</v>
      </c>
      <c r="D1508" s="10" t="s">
        <v>76</v>
      </c>
      <c r="E1508" s="11" t="s">
        <v>87</v>
      </c>
      <c r="F1508" s="12">
        <v>828.49</v>
      </c>
      <c r="G1508" s="13" t="s">
        <v>114</v>
      </c>
      <c r="H1508" s="12">
        <f t="shared" si="23"/>
        <v>828.49</v>
      </c>
    </row>
    <row r="1509" spans="1:8">
      <c r="A1509" s="14">
        <v>1504</v>
      </c>
      <c r="B1509" s="9">
        <v>45788</v>
      </c>
      <c r="C1509" s="10" t="s">
        <v>5</v>
      </c>
      <c r="D1509" s="10" t="s">
        <v>76</v>
      </c>
      <c r="E1509" s="11" t="s">
        <v>80</v>
      </c>
      <c r="F1509" s="12">
        <v>13275</v>
      </c>
      <c r="G1509" s="13" t="s">
        <v>114</v>
      </c>
      <c r="H1509" s="12">
        <f t="shared" si="23"/>
        <v>13275</v>
      </c>
    </row>
    <row r="1510" spans="1:8">
      <c r="A1510" s="14">
        <v>1505</v>
      </c>
      <c r="B1510" s="9">
        <v>45789</v>
      </c>
      <c r="C1510" s="10" t="s">
        <v>5</v>
      </c>
      <c r="D1510" s="10" t="s">
        <v>75</v>
      </c>
      <c r="E1510" s="11" t="s">
        <v>78</v>
      </c>
      <c r="F1510" s="12">
        <v>2257.77</v>
      </c>
      <c r="G1510" s="13" t="s">
        <v>114</v>
      </c>
      <c r="H1510" s="12">
        <f t="shared" si="23"/>
        <v>2257.77</v>
      </c>
    </row>
    <row r="1511" spans="1:8">
      <c r="A1511" s="14">
        <v>1506</v>
      </c>
      <c r="B1511" s="9">
        <v>45790</v>
      </c>
      <c r="C1511" s="10" t="s">
        <v>5</v>
      </c>
      <c r="D1511" s="10" t="s">
        <v>75</v>
      </c>
      <c r="E1511" s="11" t="s">
        <v>93</v>
      </c>
      <c r="F1511" s="12">
        <v>3112.92</v>
      </c>
      <c r="G1511" s="13" t="s">
        <v>114</v>
      </c>
      <c r="H1511" s="12">
        <f t="shared" si="23"/>
        <v>3112.92</v>
      </c>
    </row>
    <row r="1512" spans="1:8">
      <c r="A1512" s="14">
        <v>1507</v>
      </c>
      <c r="B1512" s="9">
        <v>45790</v>
      </c>
      <c r="C1512" s="10" t="s">
        <v>5</v>
      </c>
      <c r="D1512" s="10" t="s">
        <v>76</v>
      </c>
      <c r="E1512" s="11" t="s">
        <v>80</v>
      </c>
      <c r="F1512" s="12">
        <v>5893.05</v>
      </c>
      <c r="G1512" s="13" t="s">
        <v>114</v>
      </c>
      <c r="H1512" s="12">
        <f t="shared" si="23"/>
        <v>5893.05</v>
      </c>
    </row>
    <row r="1513" spans="1:8">
      <c r="A1513" s="14">
        <v>1508</v>
      </c>
      <c r="B1513" s="9">
        <v>45791</v>
      </c>
      <c r="C1513" s="10" t="s">
        <v>5</v>
      </c>
      <c r="D1513" s="10" t="s">
        <v>75</v>
      </c>
      <c r="E1513" s="11" t="s">
        <v>89</v>
      </c>
      <c r="F1513" s="12">
        <v>8715.0300000000007</v>
      </c>
      <c r="G1513" s="13" t="s">
        <v>114</v>
      </c>
      <c r="H1513" s="12">
        <f t="shared" si="23"/>
        <v>8715.0300000000007</v>
      </c>
    </row>
    <row r="1514" spans="1:8">
      <c r="A1514" s="14">
        <v>1509</v>
      </c>
      <c r="B1514" s="9">
        <v>45791</v>
      </c>
      <c r="C1514" s="10" t="s">
        <v>5</v>
      </c>
      <c r="D1514" s="10" t="s">
        <v>18</v>
      </c>
      <c r="E1514" s="11" t="s">
        <v>79</v>
      </c>
      <c r="F1514" s="12">
        <v>11519.09</v>
      </c>
      <c r="G1514" s="13" t="s">
        <v>114</v>
      </c>
      <c r="H1514" s="12">
        <f t="shared" si="23"/>
        <v>11519.09</v>
      </c>
    </row>
    <row r="1515" spans="1:8">
      <c r="A1515" s="14">
        <v>1510</v>
      </c>
      <c r="B1515" s="9">
        <v>45792</v>
      </c>
      <c r="C1515" s="10" t="s">
        <v>5</v>
      </c>
      <c r="D1515" s="10" t="s">
        <v>76</v>
      </c>
      <c r="E1515" s="11" t="s">
        <v>99</v>
      </c>
      <c r="F1515" s="12">
        <v>4271.54</v>
      </c>
      <c r="G1515" s="13" t="s">
        <v>114</v>
      </c>
      <c r="H1515" s="12">
        <f t="shared" si="23"/>
        <v>4271.54</v>
      </c>
    </row>
    <row r="1516" spans="1:8">
      <c r="A1516" s="14">
        <v>1511</v>
      </c>
      <c r="B1516" s="9">
        <v>45793</v>
      </c>
      <c r="C1516" s="10" t="s">
        <v>5</v>
      </c>
      <c r="D1516" s="10" t="s">
        <v>75</v>
      </c>
      <c r="E1516" s="11" t="s">
        <v>106</v>
      </c>
      <c r="F1516" s="12">
        <v>896.26</v>
      </c>
      <c r="G1516" s="13" t="s">
        <v>114</v>
      </c>
      <c r="H1516" s="12">
        <f t="shared" si="23"/>
        <v>896.26</v>
      </c>
    </row>
    <row r="1517" spans="1:8">
      <c r="A1517" s="14">
        <v>1512</v>
      </c>
      <c r="B1517" s="9">
        <v>45796</v>
      </c>
      <c r="C1517" s="10" t="s">
        <v>5</v>
      </c>
      <c r="D1517" s="10" t="s">
        <v>75</v>
      </c>
      <c r="E1517" s="11" t="s">
        <v>89</v>
      </c>
      <c r="F1517" s="12">
        <v>5345.66</v>
      </c>
      <c r="G1517" s="13" t="s">
        <v>114</v>
      </c>
      <c r="H1517" s="12">
        <f t="shared" si="23"/>
        <v>5345.66</v>
      </c>
    </row>
    <row r="1518" spans="1:8">
      <c r="A1518" s="14">
        <v>1513</v>
      </c>
      <c r="B1518" s="9">
        <v>45796</v>
      </c>
      <c r="C1518" s="10" t="s">
        <v>5</v>
      </c>
      <c r="D1518" s="10" t="s">
        <v>75</v>
      </c>
      <c r="E1518" s="11" t="s">
        <v>101</v>
      </c>
      <c r="F1518" s="12">
        <v>10778.82</v>
      </c>
      <c r="G1518" s="13" t="s">
        <v>114</v>
      </c>
      <c r="H1518" s="12">
        <f t="shared" si="23"/>
        <v>10778.82</v>
      </c>
    </row>
    <row r="1519" spans="1:8">
      <c r="A1519" s="14">
        <v>1514</v>
      </c>
      <c r="B1519" s="9">
        <v>45796</v>
      </c>
      <c r="C1519" s="10" t="s">
        <v>5</v>
      </c>
      <c r="D1519" s="10" t="s">
        <v>75</v>
      </c>
      <c r="E1519" s="11" t="s">
        <v>101</v>
      </c>
      <c r="F1519" s="12">
        <v>10998.55</v>
      </c>
      <c r="G1519" s="13" t="s">
        <v>114</v>
      </c>
      <c r="H1519" s="12">
        <f t="shared" si="23"/>
        <v>10998.55</v>
      </c>
    </row>
    <row r="1520" spans="1:8">
      <c r="A1520" s="14">
        <v>1515</v>
      </c>
      <c r="B1520" s="9">
        <v>45796</v>
      </c>
      <c r="C1520" s="10" t="s">
        <v>5</v>
      </c>
      <c r="D1520" s="10" t="s">
        <v>76</v>
      </c>
      <c r="E1520" s="11" t="s">
        <v>87</v>
      </c>
      <c r="F1520" s="12">
        <v>1361.38</v>
      </c>
      <c r="G1520" s="13" t="s">
        <v>114</v>
      </c>
      <c r="H1520" s="12">
        <f t="shared" si="23"/>
        <v>1361.38</v>
      </c>
    </row>
    <row r="1521" spans="1:8">
      <c r="A1521" s="14">
        <v>1516</v>
      </c>
      <c r="B1521" s="9">
        <v>45796</v>
      </c>
      <c r="C1521" s="10" t="s">
        <v>5</v>
      </c>
      <c r="D1521" s="10" t="s">
        <v>75</v>
      </c>
      <c r="E1521" s="11" t="s">
        <v>82</v>
      </c>
      <c r="F1521" s="12">
        <v>2562.5100000000002</v>
      </c>
      <c r="G1521" s="13" t="s">
        <v>114</v>
      </c>
      <c r="H1521" s="12">
        <f t="shared" si="23"/>
        <v>2562.5100000000002</v>
      </c>
    </row>
    <row r="1522" spans="1:8">
      <c r="A1522" s="14">
        <v>1517</v>
      </c>
      <c r="B1522" s="9">
        <v>45797</v>
      </c>
      <c r="C1522" s="10" t="s">
        <v>5</v>
      </c>
      <c r="D1522" s="10" t="s">
        <v>76</v>
      </c>
      <c r="E1522" s="11" t="s">
        <v>95</v>
      </c>
      <c r="F1522" s="12">
        <v>942.07</v>
      </c>
      <c r="G1522" s="13" t="s">
        <v>114</v>
      </c>
      <c r="H1522" s="12">
        <f t="shared" si="23"/>
        <v>942.07</v>
      </c>
    </row>
    <row r="1523" spans="1:8">
      <c r="A1523" s="14">
        <v>1518</v>
      </c>
      <c r="B1523" s="9">
        <v>45797</v>
      </c>
      <c r="C1523" s="10" t="s">
        <v>5</v>
      </c>
      <c r="D1523" s="10" t="s">
        <v>75</v>
      </c>
      <c r="E1523" s="11" t="s">
        <v>93</v>
      </c>
      <c r="F1523" s="12">
        <v>2200.71</v>
      </c>
      <c r="G1523" s="13" t="s">
        <v>114</v>
      </c>
      <c r="H1523" s="12">
        <f t="shared" si="23"/>
        <v>2200.71</v>
      </c>
    </row>
    <row r="1524" spans="1:8">
      <c r="A1524" s="14">
        <v>1519</v>
      </c>
      <c r="B1524" s="9">
        <v>45797</v>
      </c>
      <c r="C1524" s="10" t="s">
        <v>5</v>
      </c>
      <c r="D1524" s="10" t="s">
        <v>18</v>
      </c>
      <c r="E1524" s="11" t="s">
        <v>94</v>
      </c>
      <c r="F1524" s="12">
        <v>8316.41</v>
      </c>
      <c r="G1524" s="13" t="s">
        <v>114</v>
      </c>
      <c r="H1524" s="12">
        <f t="shared" si="23"/>
        <v>8316.41</v>
      </c>
    </row>
    <row r="1525" spans="1:8">
      <c r="A1525" s="14">
        <v>1520</v>
      </c>
      <c r="B1525" s="9">
        <v>45798</v>
      </c>
      <c r="C1525" s="10" t="s">
        <v>5</v>
      </c>
      <c r="D1525" s="10" t="s">
        <v>77</v>
      </c>
      <c r="E1525" s="11" t="s">
        <v>109</v>
      </c>
      <c r="F1525" s="12">
        <v>8574.9699999999993</v>
      </c>
      <c r="G1525" s="13" t="s">
        <v>114</v>
      </c>
      <c r="H1525" s="12">
        <f t="shared" si="23"/>
        <v>8574.9699999999993</v>
      </c>
    </row>
    <row r="1526" spans="1:8">
      <c r="A1526" s="14">
        <v>1521</v>
      </c>
      <c r="B1526" s="9">
        <v>45798</v>
      </c>
      <c r="C1526" s="10" t="s">
        <v>5</v>
      </c>
      <c r="D1526" s="10" t="s">
        <v>76</v>
      </c>
      <c r="E1526" s="11" t="s">
        <v>83</v>
      </c>
      <c r="F1526" s="12">
        <v>29344.65</v>
      </c>
      <c r="G1526" s="13" t="s">
        <v>114</v>
      </c>
      <c r="H1526" s="12">
        <f t="shared" si="23"/>
        <v>29344.65</v>
      </c>
    </row>
    <row r="1527" spans="1:8">
      <c r="A1527" s="14">
        <v>1522</v>
      </c>
      <c r="B1527" s="9">
        <v>45799</v>
      </c>
      <c r="C1527" s="10" t="s">
        <v>5</v>
      </c>
      <c r="D1527" s="10" t="s">
        <v>75</v>
      </c>
      <c r="E1527" s="11" t="s">
        <v>82</v>
      </c>
      <c r="F1527" s="12">
        <v>2301.4299999999998</v>
      </c>
      <c r="G1527" s="13" t="s">
        <v>114</v>
      </c>
      <c r="H1527" s="12">
        <f t="shared" si="23"/>
        <v>2301.4299999999998</v>
      </c>
    </row>
    <row r="1528" spans="1:8">
      <c r="A1528" s="14">
        <v>1523</v>
      </c>
      <c r="B1528" s="9">
        <v>45800</v>
      </c>
      <c r="C1528" s="10" t="s">
        <v>5</v>
      </c>
      <c r="D1528" s="10" t="s">
        <v>75</v>
      </c>
      <c r="E1528" s="11" t="s">
        <v>78</v>
      </c>
      <c r="F1528" s="12">
        <v>3702.91</v>
      </c>
      <c r="G1528" s="13" t="s">
        <v>114</v>
      </c>
      <c r="H1528" s="12">
        <f t="shared" si="23"/>
        <v>3702.91</v>
      </c>
    </row>
    <row r="1529" spans="1:8">
      <c r="A1529" s="14">
        <v>1524</v>
      </c>
      <c r="B1529" s="9">
        <v>45800</v>
      </c>
      <c r="C1529" s="10" t="s">
        <v>5</v>
      </c>
      <c r="D1529" s="10" t="s">
        <v>75</v>
      </c>
      <c r="E1529" s="11" t="s">
        <v>78</v>
      </c>
      <c r="F1529" s="12">
        <v>1855.77</v>
      </c>
      <c r="G1529" s="13" t="s">
        <v>114</v>
      </c>
      <c r="H1529" s="12">
        <f t="shared" si="23"/>
        <v>1855.77</v>
      </c>
    </row>
    <row r="1530" spans="1:8">
      <c r="A1530" s="14">
        <v>1525</v>
      </c>
      <c r="B1530" s="9">
        <v>45800</v>
      </c>
      <c r="C1530" s="10" t="s">
        <v>5</v>
      </c>
      <c r="D1530" s="10" t="s">
        <v>77</v>
      </c>
      <c r="E1530" s="11" t="s">
        <v>108</v>
      </c>
      <c r="F1530" s="12">
        <v>810.05</v>
      </c>
      <c r="G1530" s="13" t="s">
        <v>114</v>
      </c>
      <c r="H1530" s="12">
        <f t="shared" si="23"/>
        <v>810.05</v>
      </c>
    </row>
    <row r="1531" spans="1:8">
      <c r="A1531" s="14">
        <v>1526</v>
      </c>
      <c r="B1531" s="9">
        <v>45800</v>
      </c>
      <c r="C1531" s="10" t="s">
        <v>5</v>
      </c>
      <c r="D1531" s="10" t="s">
        <v>75</v>
      </c>
      <c r="E1531" s="11" t="s">
        <v>111</v>
      </c>
      <c r="F1531" s="12">
        <v>4689.82</v>
      </c>
      <c r="G1531" s="13" t="s">
        <v>114</v>
      </c>
      <c r="H1531" s="12">
        <f t="shared" si="23"/>
        <v>4689.82</v>
      </c>
    </row>
    <row r="1532" spans="1:8">
      <c r="A1532" s="14">
        <v>1527</v>
      </c>
      <c r="B1532" s="9">
        <v>45801</v>
      </c>
      <c r="C1532" s="10" t="s">
        <v>5</v>
      </c>
      <c r="D1532" s="10" t="s">
        <v>18</v>
      </c>
      <c r="E1532" s="11" t="s">
        <v>86</v>
      </c>
      <c r="F1532" s="12">
        <v>18322.54</v>
      </c>
      <c r="G1532" s="13" t="s">
        <v>114</v>
      </c>
      <c r="H1532" s="12">
        <f t="shared" si="23"/>
        <v>18322.54</v>
      </c>
    </row>
    <row r="1533" spans="1:8">
      <c r="A1533" s="14">
        <v>1528</v>
      </c>
      <c r="B1533" s="9">
        <v>45803</v>
      </c>
      <c r="C1533" s="10" t="s">
        <v>5</v>
      </c>
      <c r="D1533" s="10" t="s">
        <v>76</v>
      </c>
      <c r="E1533" s="11" t="s">
        <v>80</v>
      </c>
      <c r="F1533" s="12">
        <v>2150.27</v>
      </c>
      <c r="G1533" s="13" t="s">
        <v>114</v>
      </c>
      <c r="H1533" s="12">
        <f t="shared" si="23"/>
        <v>2150.27</v>
      </c>
    </row>
    <row r="1534" spans="1:8">
      <c r="A1534" s="14">
        <v>1529</v>
      </c>
      <c r="B1534" s="9">
        <v>45804</v>
      </c>
      <c r="C1534" s="10" t="s">
        <v>5</v>
      </c>
      <c r="D1534" s="10" t="s">
        <v>76</v>
      </c>
      <c r="E1534" s="11" t="s">
        <v>95</v>
      </c>
      <c r="F1534" s="12">
        <v>1737.65</v>
      </c>
      <c r="G1534" s="13" t="s">
        <v>114</v>
      </c>
      <c r="H1534" s="12">
        <f t="shared" si="23"/>
        <v>1737.65</v>
      </c>
    </row>
    <row r="1535" spans="1:8">
      <c r="A1535" s="14">
        <v>1530</v>
      </c>
      <c r="B1535" s="9">
        <v>45804</v>
      </c>
      <c r="C1535" s="10" t="s">
        <v>5</v>
      </c>
      <c r="D1535" s="10" t="s">
        <v>75</v>
      </c>
      <c r="E1535" s="11" t="s">
        <v>101</v>
      </c>
      <c r="F1535" s="12">
        <v>6655.12</v>
      </c>
      <c r="G1535" s="13" t="s">
        <v>114</v>
      </c>
      <c r="H1535" s="12">
        <f t="shared" si="23"/>
        <v>6655.12</v>
      </c>
    </row>
    <row r="1536" spans="1:8">
      <c r="A1536" s="14">
        <v>1531</v>
      </c>
      <c r="B1536" s="9">
        <v>45804</v>
      </c>
      <c r="C1536" s="10" t="s">
        <v>5</v>
      </c>
      <c r="D1536" s="10" t="s">
        <v>18</v>
      </c>
      <c r="E1536" s="11" t="s">
        <v>86</v>
      </c>
      <c r="F1536" s="12">
        <v>14614.37</v>
      </c>
      <c r="G1536" s="13" t="s">
        <v>114</v>
      </c>
      <c r="H1536" s="12">
        <f t="shared" si="23"/>
        <v>14614.37</v>
      </c>
    </row>
    <row r="1537" spans="1:8">
      <c r="A1537" s="14">
        <v>1532</v>
      </c>
      <c r="B1537" s="9">
        <v>45805</v>
      </c>
      <c r="C1537" s="10" t="s">
        <v>5</v>
      </c>
      <c r="D1537" s="10" t="s">
        <v>75</v>
      </c>
      <c r="E1537" s="11" t="s">
        <v>101</v>
      </c>
      <c r="F1537" s="12">
        <v>8619.9599999999991</v>
      </c>
      <c r="G1537" s="13" t="s">
        <v>114</v>
      </c>
      <c r="H1537" s="12">
        <f t="shared" si="23"/>
        <v>8619.9599999999991</v>
      </c>
    </row>
    <row r="1538" spans="1:8">
      <c r="A1538" s="14">
        <v>1533</v>
      </c>
      <c r="B1538" s="9">
        <v>45805</v>
      </c>
      <c r="C1538" s="10" t="s">
        <v>5</v>
      </c>
      <c r="D1538" s="10" t="s">
        <v>75</v>
      </c>
      <c r="E1538" s="11" t="s">
        <v>78</v>
      </c>
      <c r="F1538" s="12">
        <v>5753.46</v>
      </c>
      <c r="G1538" s="13" t="s">
        <v>114</v>
      </c>
      <c r="H1538" s="12">
        <f t="shared" si="23"/>
        <v>5753.46</v>
      </c>
    </row>
    <row r="1539" spans="1:8">
      <c r="A1539" s="14">
        <v>1534</v>
      </c>
      <c r="B1539" s="9">
        <v>45805</v>
      </c>
      <c r="C1539" s="10" t="s">
        <v>5</v>
      </c>
      <c r="D1539" s="10" t="s">
        <v>75</v>
      </c>
      <c r="E1539" s="11" t="s">
        <v>78</v>
      </c>
      <c r="F1539" s="12">
        <v>7363</v>
      </c>
      <c r="G1539" s="13" t="s">
        <v>114</v>
      </c>
      <c r="H1539" s="12">
        <f t="shared" si="23"/>
        <v>7363</v>
      </c>
    </row>
    <row r="1540" spans="1:8">
      <c r="A1540" s="14">
        <v>1535</v>
      </c>
      <c r="B1540" s="9">
        <v>45805</v>
      </c>
      <c r="C1540" s="10" t="s">
        <v>5</v>
      </c>
      <c r="D1540" s="10" t="s">
        <v>75</v>
      </c>
      <c r="E1540" s="11" t="s">
        <v>78</v>
      </c>
      <c r="F1540" s="12">
        <v>6504.06</v>
      </c>
      <c r="G1540" s="13" t="s">
        <v>114</v>
      </c>
      <c r="H1540" s="12">
        <f t="shared" si="23"/>
        <v>6504.06</v>
      </c>
    </row>
    <row r="1541" spans="1:8">
      <c r="A1541" s="14">
        <v>1536</v>
      </c>
      <c r="B1541" s="9">
        <v>45805</v>
      </c>
      <c r="C1541" s="10" t="s">
        <v>5</v>
      </c>
      <c r="D1541" s="10" t="s">
        <v>75</v>
      </c>
      <c r="E1541" s="11" t="s">
        <v>82</v>
      </c>
      <c r="F1541" s="12">
        <v>7871.46</v>
      </c>
      <c r="G1541" s="13" t="s">
        <v>114</v>
      </c>
      <c r="H1541" s="12">
        <f t="shared" ref="H1541:H1604" si="24">IF(C1541="Despesa", F1541*-1, F1541)</f>
        <v>7871.46</v>
      </c>
    </row>
    <row r="1542" spans="1:8">
      <c r="A1542" s="14">
        <v>1537</v>
      </c>
      <c r="B1542" s="9">
        <v>45805</v>
      </c>
      <c r="C1542" s="10" t="s">
        <v>5</v>
      </c>
      <c r="D1542" s="10" t="s">
        <v>75</v>
      </c>
      <c r="E1542" s="11" t="s">
        <v>101</v>
      </c>
      <c r="F1542" s="12">
        <v>6948.49</v>
      </c>
      <c r="G1542" s="13" t="s">
        <v>114</v>
      </c>
      <c r="H1542" s="12">
        <f t="shared" si="24"/>
        <v>6948.49</v>
      </c>
    </row>
    <row r="1543" spans="1:8">
      <c r="A1543" s="14">
        <v>1538</v>
      </c>
      <c r="B1543" s="9">
        <v>45806</v>
      </c>
      <c r="C1543" s="10" t="s">
        <v>5</v>
      </c>
      <c r="D1543" s="10" t="s">
        <v>75</v>
      </c>
      <c r="E1543" s="11" t="s">
        <v>82</v>
      </c>
      <c r="F1543" s="12">
        <v>3707.86</v>
      </c>
      <c r="G1543" s="13" t="s">
        <v>114</v>
      </c>
      <c r="H1543" s="12">
        <f t="shared" si="24"/>
        <v>3707.86</v>
      </c>
    </row>
    <row r="1544" spans="1:8">
      <c r="A1544" s="14">
        <v>1539</v>
      </c>
      <c r="B1544" s="9">
        <v>45806</v>
      </c>
      <c r="C1544" s="10" t="s">
        <v>5</v>
      </c>
      <c r="D1544" s="10" t="s">
        <v>76</v>
      </c>
      <c r="E1544" s="11" t="s">
        <v>87</v>
      </c>
      <c r="F1544" s="12">
        <v>532.61</v>
      </c>
      <c r="G1544" s="13" t="s">
        <v>114</v>
      </c>
      <c r="H1544" s="12">
        <f t="shared" si="24"/>
        <v>532.61</v>
      </c>
    </row>
    <row r="1545" spans="1:8">
      <c r="A1545" s="14">
        <v>1540</v>
      </c>
      <c r="B1545" s="9">
        <v>45807</v>
      </c>
      <c r="C1545" s="10" t="s">
        <v>5</v>
      </c>
      <c r="D1545" s="10" t="s">
        <v>75</v>
      </c>
      <c r="E1545" s="11" t="s">
        <v>82</v>
      </c>
      <c r="F1545" s="12">
        <v>5952.71</v>
      </c>
      <c r="G1545" s="13" t="s">
        <v>114</v>
      </c>
      <c r="H1545" s="12">
        <f t="shared" si="24"/>
        <v>5952.71</v>
      </c>
    </row>
    <row r="1546" spans="1:8">
      <c r="A1546" s="14">
        <v>1541</v>
      </c>
      <c r="B1546" s="9">
        <v>45807</v>
      </c>
      <c r="C1546" s="10" t="s">
        <v>5</v>
      </c>
      <c r="D1546" s="10" t="s">
        <v>76</v>
      </c>
      <c r="E1546" s="11" t="s">
        <v>80</v>
      </c>
      <c r="F1546" s="12">
        <v>6045.04</v>
      </c>
      <c r="G1546" s="13" t="s">
        <v>114</v>
      </c>
      <c r="H1546" s="12">
        <f t="shared" si="24"/>
        <v>6045.04</v>
      </c>
    </row>
    <row r="1547" spans="1:8">
      <c r="A1547" s="14">
        <v>1542</v>
      </c>
      <c r="B1547" s="9">
        <v>45809</v>
      </c>
      <c r="C1547" s="10" t="s">
        <v>5</v>
      </c>
      <c r="D1547" s="10" t="s">
        <v>76</v>
      </c>
      <c r="E1547" s="11" t="s">
        <v>83</v>
      </c>
      <c r="F1547" s="12">
        <v>30130.45</v>
      </c>
      <c r="G1547" s="13" t="s">
        <v>114</v>
      </c>
      <c r="H1547" s="12">
        <f t="shared" si="24"/>
        <v>30130.45</v>
      </c>
    </row>
    <row r="1548" spans="1:8">
      <c r="A1548" s="14">
        <v>1543</v>
      </c>
      <c r="B1548" s="9">
        <v>45810</v>
      </c>
      <c r="C1548" s="10" t="s">
        <v>5</v>
      </c>
      <c r="D1548" s="10" t="s">
        <v>75</v>
      </c>
      <c r="E1548" s="11" t="s">
        <v>85</v>
      </c>
      <c r="F1548" s="12">
        <v>3429.97</v>
      </c>
      <c r="G1548" s="13" t="s">
        <v>114</v>
      </c>
      <c r="H1548" s="12">
        <f t="shared" si="24"/>
        <v>3429.97</v>
      </c>
    </row>
    <row r="1549" spans="1:8">
      <c r="A1549" s="14">
        <v>1544</v>
      </c>
      <c r="B1549" s="9">
        <v>45810</v>
      </c>
      <c r="C1549" s="10" t="s">
        <v>5</v>
      </c>
      <c r="D1549" s="10" t="s">
        <v>75</v>
      </c>
      <c r="E1549" s="11" t="s">
        <v>93</v>
      </c>
      <c r="F1549" s="12">
        <v>2376.79</v>
      </c>
      <c r="G1549" s="13" t="s">
        <v>114</v>
      </c>
      <c r="H1549" s="12">
        <f t="shared" si="24"/>
        <v>2376.79</v>
      </c>
    </row>
    <row r="1550" spans="1:8">
      <c r="A1550" s="14">
        <v>1545</v>
      </c>
      <c r="B1550" s="9">
        <v>45810</v>
      </c>
      <c r="C1550" s="10" t="s">
        <v>5</v>
      </c>
      <c r="D1550" s="10" t="s">
        <v>76</v>
      </c>
      <c r="E1550" s="11" t="s">
        <v>95</v>
      </c>
      <c r="F1550" s="12">
        <v>4513.8999999999996</v>
      </c>
      <c r="G1550" s="13" t="s">
        <v>114</v>
      </c>
      <c r="H1550" s="12">
        <f t="shared" si="24"/>
        <v>4513.8999999999996</v>
      </c>
    </row>
    <row r="1551" spans="1:8">
      <c r="A1551" s="14">
        <v>1546</v>
      </c>
      <c r="B1551" s="9">
        <v>45811</v>
      </c>
      <c r="C1551" s="10" t="s">
        <v>5</v>
      </c>
      <c r="D1551" s="10" t="s">
        <v>75</v>
      </c>
      <c r="E1551" s="11" t="s">
        <v>85</v>
      </c>
      <c r="F1551" s="12">
        <v>4396.2299999999996</v>
      </c>
      <c r="G1551" s="13" t="s">
        <v>114</v>
      </c>
      <c r="H1551" s="12">
        <f t="shared" si="24"/>
        <v>4396.2299999999996</v>
      </c>
    </row>
    <row r="1552" spans="1:8">
      <c r="A1552" s="14">
        <v>1547</v>
      </c>
      <c r="B1552" s="9">
        <v>45812</v>
      </c>
      <c r="C1552" s="10" t="s">
        <v>5</v>
      </c>
      <c r="D1552" s="10" t="s">
        <v>76</v>
      </c>
      <c r="E1552" s="11" t="s">
        <v>87</v>
      </c>
      <c r="F1552" s="12">
        <v>1428.08</v>
      </c>
      <c r="G1552" s="13" t="s">
        <v>114</v>
      </c>
      <c r="H1552" s="12">
        <f t="shared" si="24"/>
        <v>1428.08</v>
      </c>
    </row>
    <row r="1553" spans="1:8">
      <c r="A1553" s="14">
        <v>1548</v>
      </c>
      <c r="B1553" s="9">
        <v>45813</v>
      </c>
      <c r="C1553" s="10" t="s">
        <v>5</v>
      </c>
      <c r="D1553" s="10" t="s">
        <v>75</v>
      </c>
      <c r="E1553" s="11" t="s">
        <v>78</v>
      </c>
      <c r="F1553" s="12">
        <v>4567.04</v>
      </c>
      <c r="G1553" s="13" t="s">
        <v>114</v>
      </c>
      <c r="H1553" s="12">
        <f t="shared" si="24"/>
        <v>4567.04</v>
      </c>
    </row>
    <row r="1554" spans="1:8">
      <c r="A1554" s="14">
        <v>1549</v>
      </c>
      <c r="B1554" s="9">
        <v>45813</v>
      </c>
      <c r="C1554" s="10" t="s">
        <v>5</v>
      </c>
      <c r="D1554" s="10" t="s">
        <v>75</v>
      </c>
      <c r="E1554" s="11" t="s">
        <v>82</v>
      </c>
      <c r="F1554" s="12">
        <v>4519.83</v>
      </c>
      <c r="G1554" s="13" t="s">
        <v>114</v>
      </c>
      <c r="H1554" s="12">
        <f t="shared" si="24"/>
        <v>4519.83</v>
      </c>
    </row>
    <row r="1555" spans="1:8">
      <c r="A1555" s="14">
        <v>1550</v>
      </c>
      <c r="B1555" s="9">
        <v>45813</v>
      </c>
      <c r="C1555" s="10" t="s">
        <v>5</v>
      </c>
      <c r="D1555" s="10" t="s">
        <v>75</v>
      </c>
      <c r="E1555" s="11" t="s">
        <v>93</v>
      </c>
      <c r="F1555" s="12">
        <v>5853.06</v>
      </c>
      <c r="G1555" s="13" t="s">
        <v>114</v>
      </c>
      <c r="H1555" s="12">
        <f t="shared" si="24"/>
        <v>5853.06</v>
      </c>
    </row>
    <row r="1556" spans="1:8">
      <c r="A1556" s="14">
        <v>1551</v>
      </c>
      <c r="B1556" s="9">
        <v>45813</v>
      </c>
      <c r="C1556" s="10" t="s">
        <v>5</v>
      </c>
      <c r="D1556" s="10" t="s">
        <v>76</v>
      </c>
      <c r="E1556" s="11" t="s">
        <v>80</v>
      </c>
      <c r="F1556" s="12">
        <v>6927.48</v>
      </c>
      <c r="G1556" s="13" t="s">
        <v>114</v>
      </c>
      <c r="H1556" s="12">
        <f t="shared" si="24"/>
        <v>6927.48</v>
      </c>
    </row>
    <row r="1557" spans="1:8">
      <c r="A1557" s="14">
        <v>1552</v>
      </c>
      <c r="B1557" s="9">
        <v>45814</v>
      </c>
      <c r="C1557" s="10" t="s">
        <v>5</v>
      </c>
      <c r="D1557" s="10" t="s">
        <v>75</v>
      </c>
      <c r="E1557" s="11" t="s">
        <v>78</v>
      </c>
      <c r="F1557" s="12">
        <v>6997.19</v>
      </c>
      <c r="G1557" s="13" t="s">
        <v>114</v>
      </c>
      <c r="H1557" s="12">
        <f t="shared" si="24"/>
        <v>6997.19</v>
      </c>
    </row>
    <row r="1558" spans="1:8">
      <c r="A1558" s="14">
        <v>1553</v>
      </c>
      <c r="B1558" s="9">
        <v>45814</v>
      </c>
      <c r="C1558" s="10" t="s">
        <v>5</v>
      </c>
      <c r="D1558" s="10" t="s">
        <v>18</v>
      </c>
      <c r="E1558" s="11" t="s">
        <v>107</v>
      </c>
      <c r="F1558" s="12">
        <v>8884.7000000000007</v>
      </c>
      <c r="G1558" s="13" t="s">
        <v>114</v>
      </c>
      <c r="H1558" s="12">
        <f t="shared" si="24"/>
        <v>8884.7000000000007</v>
      </c>
    </row>
    <row r="1559" spans="1:8">
      <c r="A1559" s="14">
        <v>1554</v>
      </c>
      <c r="B1559" s="9">
        <v>45814</v>
      </c>
      <c r="C1559" s="10" t="s">
        <v>5</v>
      </c>
      <c r="D1559" s="10" t="s">
        <v>75</v>
      </c>
      <c r="E1559" s="11" t="s">
        <v>93</v>
      </c>
      <c r="F1559" s="12">
        <v>1342.4</v>
      </c>
      <c r="G1559" s="13" t="s">
        <v>114</v>
      </c>
      <c r="H1559" s="12">
        <f t="shared" si="24"/>
        <v>1342.4</v>
      </c>
    </row>
    <row r="1560" spans="1:8">
      <c r="A1560" s="14">
        <v>1555</v>
      </c>
      <c r="B1560" s="9">
        <v>45814</v>
      </c>
      <c r="C1560" s="10" t="s">
        <v>5</v>
      </c>
      <c r="D1560" s="10" t="s">
        <v>75</v>
      </c>
      <c r="E1560" s="11" t="s">
        <v>85</v>
      </c>
      <c r="F1560" s="12">
        <v>7220.12</v>
      </c>
      <c r="G1560" s="13" t="s">
        <v>114</v>
      </c>
      <c r="H1560" s="12">
        <f t="shared" si="24"/>
        <v>7220.12</v>
      </c>
    </row>
    <row r="1561" spans="1:8">
      <c r="A1561" s="14">
        <v>1556</v>
      </c>
      <c r="B1561" s="9">
        <v>45814</v>
      </c>
      <c r="C1561" s="10" t="s">
        <v>5</v>
      </c>
      <c r="D1561" s="10" t="s">
        <v>75</v>
      </c>
      <c r="E1561" s="11" t="s">
        <v>78</v>
      </c>
      <c r="F1561" s="12">
        <v>4119.07</v>
      </c>
      <c r="G1561" s="13" t="s">
        <v>114</v>
      </c>
      <c r="H1561" s="12">
        <f t="shared" si="24"/>
        <v>4119.07</v>
      </c>
    </row>
    <row r="1562" spans="1:8">
      <c r="A1562" s="14">
        <v>1557</v>
      </c>
      <c r="B1562" s="9">
        <v>45815</v>
      </c>
      <c r="C1562" s="10" t="s">
        <v>5</v>
      </c>
      <c r="D1562" s="10" t="s">
        <v>18</v>
      </c>
      <c r="E1562" s="11" t="s">
        <v>98</v>
      </c>
      <c r="F1562" s="12">
        <v>15617.93</v>
      </c>
      <c r="G1562" s="13" t="s">
        <v>114</v>
      </c>
      <c r="H1562" s="12">
        <f t="shared" si="24"/>
        <v>15617.93</v>
      </c>
    </row>
    <row r="1563" spans="1:8">
      <c r="A1563" s="14">
        <v>1558</v>
      </c>
      <c r="B1563" s="9">
        <v>45816</v>
      </c>
      <c r="C1563" s="10" t="s">
        <v>5</v>
      </c>
      <c r="D1563" s="10" t="s">
        <v>77</v>
      </c>
      <c r="E1563" s="11" t="s">
        <v>100</v>
      </c>
      <c r="F1563" s="12">
        <v>21543.02</v>
      </c>
      <c r="G1563" s="13" t="s">
        <v>114</v>
      </c>
      <c r="H1563" s="12">
        <f t="shared" si="24"/>
        <v>21543.02</v>
      </c>
    </row>
    <row r="1564" spans="1:8">
      <c r="A1564" s="14">
        <v>1559</v>
      </c>
      <c r="B1564" s="9">
        <v>45817</v>
      </c>
      <c r="C1564" s="10" t="s">
        <v>5</v>
      </c>
      <c r="D1564" s="10" t="s">
        <v>75</v>
      </c>
      <c r="E1564" s="11" t="s">
        <v>89</v>
      </c>
      <c r="F1564" s="12">
        <v>1909.89</v>
      </c>
      <c r="G1564" s="13" t="s">
        <v>114</v>
      </c>
      <c r="H1564" s="12">
        <f t="shared" si="24"/>
        <v>1909.89</v>
      </c>
    </row>
    <row r="1565" spans="1:8">
      <c r="A1565" s="14">
        <v>1560</v>
      </c>
      <c r="B1565" s="9">
        <v>45818</v>
      </c>
      <c r="C1565" s="10" t="s">
        <v>5</v>
      </c>
      <c r="D1565" s="10" t="s">
        <v>75</v>
      </c>
      <c r="E1565" s="11" t="s">
        <v>82</v>
      </c>
      <c r="F1565" s="12">
        <v>5465.74</v>
      </c>
      <c r="G1565" s="13" t="s">
        <v>114</v>
      </c>
      <c r="H1565" s="12">
        <f t="shared" si="24"/>
        <v>5465.74</v>
      </c>
    </row>
    <row r="1566" spans="1:8">
      <c r="A1566" s="14">
        <v>1561</v>
      </c>
      <c r="B1566" s="9">
        <v>45819</v>
      </c>
      <c r="C1566" s="10" t="s">
        <v>5</v>
      </c>
      <c r="D1566" s="10" t="s">
        <v>75</v>
      </c>
      <c r="E1566" s="11" t="s">
        <v>89</v>
      </c>
      <c r="F1566" s="12">
        <v>3391.82</v>
      </c>
      <c r="G1566" s="13" t="s">
        <v>114</v>
      </c>
      <c r="H1566" s="12">
        <f t="shared" si="24"/>
        <v>3391.82</v>
      </c>
    </row>
    <row r="1567" spans="1:8">
      <c r="A1567" s="14">
        <v>1562</v>
      </c>
      <c r="B1567" s="9">
        <v>45820</v>
      </c>
      <c r="C1567" s="10" t="s">
        <v>5</v>
      </c>
      <c r="D1567" s="10" t="s">
        <v>75</v>
      </c>
      <c r="E1567" s="11" t="s">
        <v>82</v>
      </c>
      <c r="F1567" s="12">
        <v>7553.34</v>
      </c>
      <c r="G1567" s="13" t="s">
        <v>114</v>
      </c>
      <c r="H1567" s="12">
        <f t="shared" si="24"/>
        <v>7553.34</v>
      </c>
    </row>
    <row r="1568" spans="1:8">
      <c r="A1568" s="14">
        <v>1563</v>
      </c>
      <c r="B1568" s="9">
        <v>45820</v>
      </c>
      <c r="C1568" s="10" t="s">
        <v>5</v>
      </c>
      <c r="D1568" s="10" t="s">
        <v>18</v>
      </c>
      <c r="E1568" s="11" t="s">
        <v>104</v>
      </c>
      <c r="F1568" s="12">
        <v>8732.44</v>
      </c>
      <c r="G1568" s="13" t="s">
        <v>114</v>
      </c>
      <c r="H1568" s="12">
        <f t="shared" si="24"/>
        <v>8732.44</v>
      </c>
    </row>
    <row r="1569" spans="1:8">
      <c r="A1569" s="14">
        <v>1564</v>
      </c>
      <c r="B1569" s="9">
        <v>45821</v>
      </c>
      <c r="C1569" s="10" t="s">
        <v>5</v>
      </c>
      <c r="D1569" s="10" t="s">
        <v>76</v>
      </c>
      <c r="E1569" s="11" t="s">
        <v>87</v>
      </c>
      <c r="F1569" s="12">
        <v>2566.7399999999998</v>
      </c>
      <c r="G1569" s="13" t="s">
        <v>114</v>
      </c>
      <c r="H1569" s="12">
        <f t="shared" si="24"/>
        <v>2566.7399999999998</v>
      </c>
    </row>
    <row r="1570" spans="1:8">
      <c r="A1570" s="14">
        <v>1565</v>
      </c>
      <c r="B1570" s="9">
        <v>45822</v>
      </c>
      <c r="C1570" s="10" t="s">
        <v>5</v>
      </c>
      <c r="D1570" s="10" t="s">
        <v>75</v>
      </c>
      <c r="E1570" s="11" t="s">
        <v>78</v>
      </c>
      <c r="F1570" s="12">
        <v>3614.8</v>
      </c>
      <c r="G1570" s="13" t="s">
        <v>114</v>
      </c>
      <c r="H1570" s="12">
        <f t="shared" si="24"/>
        <v>3614.8</v>
      </c>
    </row>
    <row r="1571" spans="1:8">
      <c r="A1571" s="14">
        <v>1566</v>
      </c>
      <c r="B1571" s="9">
        <v>45822</v>
      </c>
      <c r="C1571" s="10" t="s">
        <v>5</v>
      </c>
      <c r="D1571" s="10" t="s">
        <v>75</v>
      </c>
      <c r="E1571" s="11" t="s">
        <v>93</v>
      </c>
      <c r="F1571" s="12">
        <v>4122.33</v>
      </c>
      <c r="G1571" s="13" t="s">
        <v>114</v>
      </c>
      <c r="H1571" s="12">
        <f t="shared" si="24"/>
        <v>4122.33</v>
      </c>
    </row>
    <row r="1572" spans="1:8">
      <c r="A1572" s="14">
        <v>1567</v>
      </c>
      <c r="B1572" s="9">
        <v>45822</v>
      </c>
      <c r="C1572" s="10" t="s">
        <v>5</v>
      </c>
      <c r="D1572" s="10" t="s">
        <v>75</v>
      </c>
      <c r="E1572" s="11" t="s">
        <v>89</v>
      </c>
      <c r="F1572" s="12">
        <v>2446.4699999999998</v>
      </c>
      <c r="G1572" s="13" t="s">
        <v>114</v>
      </c>
      <c r="H1572" s="12">
        <f t="shared" si="24"/>
        <v>2446.4699999999998</v>
      </c>
    </row>
    <row r="1573" spans="1:8">
      <c r="A1573" s="14">
        <v>1568</v>
      </c>
      <c r="B1573" s="9">
        <v>45823</v>
      </c>
      <c r="C1573" s="10" t="s">
        <v>5</v>
      </c>
      <c r="D1573" s="10" t="s">
        <v>75</v>
      </c>
      <c r="E1573" s="11" t="s">
        <v>85</v>
      </c>
      <c r="F1573" s="12">
        <v>5786.44</v>
      </c>
      <c r="G1573" s="13" t="s">
        <v>114</v>
      </c>
      <c r="H1573" s="12">
        <f t="shared" si="24"/>
        <v>5786.44</v>
      </c>
    </row>
    <row r="1574" spans="1:8">
      <c r="A1574" s="14">
        <v>1569</v>
      </c>
      <c r="B1574" s="9">
        <v>45825</v>
      </c>
      <c r="C1574" s="10" t="s">
        <v>5</v>
      </c>
      <c r="D1574" s="10" t="s">
        <v>76</v>
      </c>
      <c r="E1574" s="11" t="s">
        <v>80</v>
      </c>
      <c r="F1574" s="12">
        <v>8357.0499999999993</v>
      </c>
      <c r="G1574" s="13" t="s">
        <v>114</v>
      </c>
      <c r="H1574" s="12">
        <f t="shared" si="24"/>
        <v>8357.0499999999993</v>
      </c>
    </row>
    <row r="1575" spans="1:8">
      <c r="A1575" s="14">
        <v>1570</v>
      </c>
      <c r="B1575" s="9">
        <v>45825</v>
      </c>
      <c r="C1575" s="10" t="s">
        <v>5</v>
      </c>
      <c r="D1575" s="10" t="s">
        <v>75</v>
      </c>
      <c r="E1575" s="11" t="s">
        <v>93</v>
      </c>
      <c r="F1575" s="12">
        <v>3370.08</v>
      </c>
      <c r="G1575" s="13" t="s">
        <v>114</v>
      </c>
      <c r="H1575" s="12">
        <f t="shared" si="24"/>
        <v>3370.08</v>
      </c>
    </row>
    <row r="1576" spans="1:8">
      <c r="A1576" s="14">
        <v>1571</v>
      </c>
      <c r="B1576" s="9">
        <v>45825</v>
      </c>
      <c r="C1576" s="10" t="s">
        <v>5</v>
      </c>
      <c r="D1576" s="10" t="s">
        <v>76</v>
      </c>
      <c r="E1576" s="11" t="s">
        <v>102</v>
      </c>
      <c r="F1576" s="12">
        <v>5001.83</v>
      </c>
      <c r="G1576" s="13" t="s">
        <v>114</v>
      </c>
      <c r="H1576" s="12">
        <f t="shared" si="24"/>
        <v>5001.83</v>
      </c>
    </row>
    <row r="1577" spans="1:8">
      <c r="A1577" s="14">
        <v>1572</v>
      </c>
      <c r="B1577" s="9">
        <v>45826</v>
      </c>
      <c r="C1577" s="10" t="s">
        <v>5</v>
      </c>
      <c r="D1577" s="10" t="s">
        <v>75</v>
      </c>
      <c r="E1577" s="11" t="s">
        <v>85</v>
      </c>
      <c r="F1577" s="12">
        <v>5892.56</v>
      </c>
      <c r="G1577" s="13" t="s">
        <v>114</v>
      </c>
      <c r="H1577" s="12">
        <f t="shared" si="24"/>
        <v>5892.56</v>
      </c>
    </row>
    <row r="1578" spans="1:8">
      <c r="A1578" s="14">
        <v>1573</v>
      </c>
      <c r="B1578" s="9">
        <v>45826</v>
      </c>
      <c r="C1578" s="10" t="s">
        <v>5</v>
      </c>
      <c r="D1578" s="10" t="s">
        <v>75</v>
      </c>
      <c r="E1578" s="11" t="s">
        <v>78</v>
      </c>
      <c r="F1578" s="12">
        <v>2833.56</v>
      </c>
      <c r="G1578" s="13" t="s">
        <v>114</v>
      </c>
      <c r="H1578" s="12">
        <f t="shared" si="24"/>
        <v>2833.56</v>
      </c>
    </row>
    <row r="1579" spans="1:8">
      <c r="A1579" s="14">
        <v>1574</v>
      </c>
      <c r="B1579" s="9">
        <v>45826</v>
      </c>
      <c r="C1579" s="10" t="s">
        <v>5</v>
      </c>
      <c r="D1579" s="10" t="s">
        <v>18</v>
      </c>
      <c r="E1579" s="11" t="s">
        <v>94</v>
      </c>
      <c r="F1579" s="12">
        <v>12203.75</v>
      </c>
      <c r="G1579" s="13" t="s">
        <v>114</v>
      </c>
      <c r="H1579" s="12">
        <f t="shared" si="24"/>
        <v>12203.75</v>
      </c>
    </row>
    <row r="1580" spans="1:8">
      <c r="A1580" s="14">
        <v>1575</v>
      </c>
      <c r="B1580" s="9">
        <v>45827</v>
      </c>
      <c r="C1580" s="10" t="s">
        <v>5</v>
      </c>
      <c r="D1580" s="10" t="s">
        <v>18</v>
      </c>
      <c r="E1580" s="11" t="s">
        <v>79</v>
      </c>
      <c r="F1580" s="12">
        <v>9650.1</v>
      </c>
      <c r="G1580" s="13" t="s">
        <v>114</v>
      </c>
      <c r="H1580" s="12">
        <f t="shared" si="24"/>
        <v>9650.1</v>
      </c>
    </row>
    <row r="1581" spans="1:8">
      <c r="A1581" s="14">
        <v>1576</v>
      </c>
      <c r="B1581" s="9">
        <v>45827</v>
      </c>
      <c r="C1581" s="10" t="s">
        <v>5</v>
      </c>
      <c r="D1581" s="10" t="s">
        <v>77</v>
      </c>
      <c r="E1581" s="11" t="s">
        <v>88</v>
      </c>
      <c r="F1581" s="12">
        <v>11462.24</v>
      </c>
      <c r="G1581" s="13" t="s">
        <v>114</v>
      </c>
      <c r="H1581" s="12">
        <f t="shared" si="24"/>
        <v>11462.24</v>
      </c>
    </row>
    <row r="1582" spans="1:8">
      <c r="A1582" s="14">
        <v>1577</v>
      </c>
      <c r="B1582" s="9">
        <v>45827</v>
      </c>
      <c r="C1582" s="10" t="s">
        <v>5</v>
      </c>
      <c r="D1582" s="10" t="s">
        <v>76</v>
      </c>
      <c r="E1582" s="11" t="s">
        <v>83</v>
      </c>
      <c r="F1582" s="12">
        <v>11172.61</v>
      </c>
      <c r="G1582" s="13" t="s">
        <v>114</v>
      </c>
      <c r="H1582" s="12">
        <f t="shared" si="24"/>
        <v>11172.61</v>
      </c>
    </row>
    <row r="1583" spans="1:8">
      <c r="A1583" s="14">
        <v>1578</v>
      </c>
      <c r="B1583" s="9">
        <v>45828</v>
      </c>
      <c r="C1583" s="10" t="s">
        <v>5</v>
      </c>
      <c r="D1583" s="10" t="s">
        <v>76</v>
      </c>
      <c r="E1583" s="11" t="s">
        <v>91</v>
      </c>
      <c r="F1583" s="12">
        <v>8827.01</v>
      </c>
      <c r="G1583" s="13" t="s">
        <v>114</v>
      </c>
      <c r="H1583" s="12">
        <f t="shared" si="24"/>
        <v>8827.01</v>
      </c>
    </row>
    <row r="1584" spans="1:8">
      <c r="A1584" s="14">
        <v>1579</v>
      </c>
      <c r="B1584" s="9">
        <v>45828</v>
      </c>
      <c r="C1584" s="10" t="s">
        <v>5</v>
      </c>
      <c r="D1584" s="10" t="s">
        <v>75</v>
      </c>
      <c r="E1584" s="11" t="s">
        <v>97</v>
      </c>
      <c r="F1584" s="12">
        <v>1301.6500000000001</v>
      </c>
      <c r="G1584" s="13" t="s">
        <v>114</v>
      </c>
      <c r="H1584" s="12">
        <f t="shared" si="24"/>
        <v>1301.6500000000001</v>
      </c>
    </row>
    <row r="1585" spans="1:8">
      <c r="A1585" s="14">
        <v>1580</v>
      </c>
      <c r="B1585" s="9">
        <v>45828</v>
      </c>
      <c r="C1585" s="10" t="s">
        <v>5</v>
      </c>
      <c r="D1585" s="10" t="s">
        <v>76</v>
      </c>
      <c r="E1585" s="11" t="s">
        <v>91</v>
      </c>
      <c r="F1585" s="12">
        <v>7949.28</v>
      </c>
      <c r="G1585" s="13" t="s">
        <v>114</v>
      </c>
      <c r="H1585" s="12">
        <f t="shared" si="24"/>
        <v>7949.28</v>
      </c>
    </row>
    <row r="1586" spans="1:8">
      <c r="A1586" s="14">
        <v>1581</v>
      </c>
      <c r="B1586" s="9">
        <v>45829</v>
      </c>
      <c r="C1586" s="10" t="s">
        <v>5</v>
      </c>
      <c r="D1586" s="10" t="s">
        <v>75</v>
      </c>
      <c r="E1586" s="11" t="s">
        <v>93</v>
      </c>
      <c r="F1586" s="12">
        <v>3963.13</v>
      </c>
      <c r="G1586" s="13" t="s">
        <v>114</v>
      </c>
      <c r="H1586" s="12">
        <f t="shared" si="24"/>
        <v>3963.13</v>
      </c>
    </row>
    <row r="1587" spans="1:8">
      <c r="A1587" s="14">
        <v>1582</v>
      </c>
      <c r="B1587" s="9">
        <v>45829</v>
      </c>
      <c r="C1587" s="10" t="s">
        <v>5</v>
      </c>
      <c r="D1587" s="10" t="s">
        <v>77</v>
      </c>
      <c r="E1587" s="11" t="s">
        <v>100</v>
      </c>
      <c r="F1587" s="12">
        <v>4359.01</v>
      </c>
      <c r="G1587" s="13" t="s">
        <v>114</v>
      </c>
      <c r="H1587" s="12">
        <f t="shared" si="24"/>
        <v>4359.01</v>
      </c>
    </row>
    <row r="1588" spans="1:8">
      <c r="A1588" s="14">
        <v>1583</v>
      </c>
      <c r="B1588" s="9">
        <v>45831</v>
      </c>
      <c r="C1588" s="10" t="s">
        <v>5</v>
      </c>
      <c r="D1588" s="10" t="s">
        <v>75</v>
      </c>
      <c r="E1588" s="11" t="s">
        <v>89</v>
      </c>
      <c r="F1588" s="12">
        <v>3498.47</v>
      </c>
      <c r="G1588" s="13" t="s">
        <v>114</v>
      </c>
      <c r="H1588" s="12">
        <f t="shared" si="24"/>
        <v>3498.47</v>
      </c>
    </row>
    <row r="1589" spans="1:8">
      <c r="A1589" s="14">
        <v>1584</v>
      </c>
      <c r="B1589" s="9">
        <v>45831</v>
      </c>
      <c r="C1589" s="10" t="s">
        <v>5</v>
      </c>
      <c r="D1589" s="10" t="s">
        <v>76</v>
      </c>
      <c r="E1589" s="11" t="s">
        <v>99</v>
      </c>
      <c r="F1589" s="12">
        <v>3795</v>
      </c>
      <c r="G1589" s="13" t="s">
        <v>114</v>
      </c>
      <c r="H1589" s="12">
        <f t="shared" si="24"/>
        <v>3795</v>
      </c>
    </row>
    <row r="1590" spans="1:8">
      <c r="A1590" s="14">
        <v>1585</v>
      </c>
      <c r="B1590" s="9">
        <v>45831</v>
      </c>
      <c r="C1590" s="10" t="s">
        <v>5</v>
      </c>
      <c r="D1590" s="10" t="s">
        <v>75</v>
      </c>
      <c r="E1590" s="11" t="s">
        <v>106</v>
      </c>
      <c r="F1590" s="12">
        <v>2794.85</v>
      </c>
      <c r="G1590" s="13" t="s">
        <v>114</v>
      </c>
      <c r="H1590" s="12">
        <f t="shared" si="24"/>
        <v>2794.85</v>
      </c>
    </row>
    <row r="1591" spans="1:8">
      <c r="A1591" s="14">
        <v>1586</v>
      </c>
      <c r="B1591" s="9">
        <v>45831</v>
      </c>
      <c r="C1591" s="10" t="s">
        <v>5</v>
      </c>
      <c r="D1591" s="10" t="s">
        <v>76</v>
      </c>
      <c r="E1591" s="11" t="s">
        <v>83</v>
      </c>
      <c r="F1591" s="12">
        <v>22469.91</v>
      </c>
      <c r="G1591" s="13" t="s">
        <v>114</v>
      </c>
      <c r="H1591" s="12">
        <f t="shared" si="24"/>
        <v>22469.91</v>
      </c>
    </row>
    <row r="1592" spans="1:8">
      <c r="A1592" s="14">
        <v>1587</v>
      </c>
      <c r="B1592" s="9">
        <v>45831</v>
      </c>
      <c r="C1592" s="10" t="s">
        <v>5</v>
      </c>
      <c r="D1592" s="10" t="s">
        <v>76</v>
      </c>
      <c r="E1592" s="11" t="s">
        <v>99</v>
      </c>
      <c r="F1592" s="12">
        <v>3213.08</v>
      </c>
      <c r="G1592" s="13" t="s">
        <v>114</v>
      </c>
      <c r="H1592" s="12">
        <f t="shared" si="24"/>
        <v>3213.08</v>
      </c>
    </row>
    <row r="1593" spans="1:8">
      <c r="A1593" s="14">
        <v>1588</v>
      </c>
      <c r="B1593" s="9">
        <v>45831</v>
      </c>
      <c r="C1593" s="10" t="s">
        <v>5</v>
      </c>
      <c r="D1593" s="10" t="s">
        <v>75</v>
      </c>
      <c r="E1593" s="11" t="s">
        <v>106</v>
      </c>
      <c r="F1593" s="12">
        <v>860.59</v>
      </c>
      <c r="G1593" s="13" t="s">
        <v>114</v>
      </c>
      <c r="H1593" s="12">
        <f t="shared" si="24"/>
        <v>860.59</v>
      </c>
    </row>
    <row r="1594" spans="1:8">
      <c r="A1594" s="14">
        <v>1589</v>
      </c>
      <c r="B1594" s="9">
        <v>45832</v>
      </c>
      <c r="C1594" s="10" t="s">
        <v>5</v>
      </c>
      <c r="D1594" s="10" t="s">
        <v>77</v>
      </c>
      <c r="E1594" s="11" t="s">
        <v>96</v>
      </c>
      <c r="F1594" s="12">
        <v>17938.759999999998</v>
      </c>
      <c r="G1594" s="13" t="s">
        <v>114</v>
      </c>
      <c r="H1594" s="12">
        <f t="shared" si="24"/>
        <v>17938.759999999998</v>
      </c>
    </row>
    <row r="1595" spans="1:8">
      <c r="A1595" s="14">
        <v>1590</v>
      </c>
      <c r="B1595" s="9">
        <v>45832</v>
      </c>
      <c r="C1595" s="10" t="s">
        <v>5</v>
      </c>
      <c r="D1595" s="10" t="s">
        <v>76</v>
      </c>
      <c r="E1595" s="11" t="s">
        <v>95</v>
      </c>
      <c r="F1595" s="12">
        <v>4639.01</v>
      </c>
      <c r="G1595" s="13" t="s">
        <v>114</v>
      </c>
      <c r="H1595" s="12">
        <f t="shared" si="24"/>
        <v>4639.01</v>
      </c>
    </row>
    <row r="1596" spans="1:8">
      <c r="A1596" s="14">
        <v>1591</v>
      </c>
      <c r="B1596" s="9">
        <v>45833</v>
      </c>
      <c r="C1596" s="10" t="s">
        <v>5</v>
      </c>
      <c r="D1596" s="10" t="s">
        <v>75</v>
      </c>
      <c r="E1596" s="11" t="s">
        <v>82</v>
      </c>
      <c r="F1596" s="12">
        <v>4505.55</v>
      </c>
      <c r="G1596" s="13" t="s">
        <v>114</v>
      </c>
      <c r="H1596" s="12">
        <f t="shared" si="24"/>
        <v>4505.55</v>
      </c>
    </row>
    <row r="1597" spans="1:8">
      <c r="A1597" s="14">
        <v>1592</v>
      </c>
      <c r="B1597" s="9">
        <v>45833</v>
      </c>
      <c r="C1597" s="10" t="s">
        <v>5</v>
      </c>
      <c r="D1597" s="10" t="s">
        <v>75</v>
      </c>
      <c r="E1597" s="11" t="s">
        <v>85</v>
      </c>
      <c r="F1597" s="12">
        <v>4333.8</v>
      </c>
      <c r="G1597" s="13" t="s">
        <v>114</v>
      </c>
      <c r="H1597" s="12">
        <f t="shared" si="24"/>
        <v>4333.8</v>
      </c>
    </row>
    <row r="1598" spans="1:8">
      <c r="A1598" s="14">
        <v>1593</v>
      </c>
      <c r="B1598" s="9">
        <v>45833</v>
      </c>
      <c r="C1598" s="10" t="s">
        <v>5</v>
      </c>
      <c r="D1598" s="10" t="s">
        <v>76</v>
      </c>
      <c r="E1598" s="11" t="s">
        <v>95</v>
      </c>
      <c r="F1598" s="12">
        <v>2405.77</v>
      </c>
      <c r="G1598" s="13" t="s">
        <v>114</v>
      </c>
      <c r="H1598" s="12">
        <f t="shared" si="24"/>
        <v>2405.77</v>
      </c>
    </row>
    <row r="1599" spans="1:8">
      <c r="A1599" s="14">
        <v>1594</v>
      </c>
      <c r="B1599" s="9">
        <v>45834</v>
      </c>
      <c r="C1599" s="10" t="s">
        <v>5</v>
      </c>
      <c r="D1599" s="10" t="s">
        <v>75</v>
      </c>
      <c r="E1599" s="11" t="s">
        <v>106</v>
      </c>
      <c r="F1599" s="12">
        <v>1604.38</v>
      </c>
      <c r="G1599" s="13" t="s">
        <v>114</v>
      </c>
      <c r="H1599" s="12">
        <f t="shared" si="24"/>
        <v>1604.38</v>
      </c>
    </row>
    <row r="1600" spans="1:8">
      <c r="A1600" s="14">
        <v>1595</v>
      </c>
      <c r="B1600" s="9">
        <v>45835</v>
      </c>
      <c r="C1600" s="10" t="s">
        <v>5</v>
      </c>
      <c r="D1600" s="10" t="s">
        <v>76</v>
      </c>
      <c r="E1600" s="11" t="s">
        <v>95</v>
      </c>
      <c r="F1600" s="12">
        <v>4456.8999999999996</v>
      </c>
      <c r="G1600" s="13" t="s">
        <v>114</v>
      </c>
      <c r="H1600" s="12">
        <f t="shared" si="24"/>
        <v>4456.8999999999996</v>
      </c>
    </row>
    <row r="1601" spans="1:8">
      <c r="A1601" s="14">
        <v>1596</v>
      </c>
      <c r="B1601" s="9">
        <v>45835</v>
      </c>
      <c r="C1601" s="10" t="s">
        <v>5</v>
      </c>
      <c r="D1601" s="10" t="s">
        <v>75</v>
      </c>
      <c r="E1601" s="11" t="s">
        <v>97</v>
      </c>
      <c r="F1601" s="12">
        <v>908.89</v>
      </c>
      <c r="G1601" s="13" t="s">
        <v>114</v>
      </c>
      <c r="H1601" s="12">
        <f t="shared" si="24"/>
        <v>908.89</v>
      </c>
    </row>
    <row r="1602" spans="1:8">
      <c r="A1602" s="14">
        <v>1597</v>
      </c>
      <c r="B1602" s="9">
        <v>45835</v>
      </c>
      <c r="C1602" s="10" t="s">
        <v>5</v>
      </c>
      <c r="D1602" s="10" t="s">
        <v>75</v>
      </c>
      <c r="E1602" s="11" t="s">
        <v>97</v>
      </c>
      <c r="F1602" s="12">
        <v>2166.2199999999998</v>
      </c>
      <c r="G1602" s="13" t="s">
        <v>114</v>
      </c>
      <c r="H1602" s="12">
        <f t="shared" si="24"/>
        <v>2166.2199999999998</v>
      </c>
    </row>
    <row r="1603" spans="1:8">
      <c r="A1603" s="14">
        <v>1598</v>
      </c>
      <c r="B1603" s="9">
        <v>45836</v>
      </c>
      <c r="C1603" s="10" t="s">
        <v>5</v>
      </c>
      <c r="D1603" s="10" t="s">
        <v>76</v>
      </c>
      <c r="E1603" s="11" t="s">
        <v>91</v>
      </c>
      <c r="F1603" s="12">
        <v>6104.16</v>
      </c>
      <c r="G1603" s="13" t="s">
        <v>114</v>
      </c>
      <c r="H1603" s="12">
        <f t="shared" si="24"/>
        <v>6104.16</v>
      </c>
    </row>
    <row r="1604" spans="1:8">
      <c r="A1604" s="14">
        <v>1599</v>
      </c>
      <c r="B1604" s="9">
        <v>45836</v>
      </c>
      <c r="C1604" s="10" t="s">
        <v>5</v>
      </c>
      <c r="D1604" s="10" t="s">
        <v>75</v>
      </c>
      <c r="E1604" s="11" t="s">
        <v>82</v>
      </c>
      <c r="F1604" s="12">
        <v>7380.09</v>
      </c>
      <c r="G1604" s="13" t="s">
        <v>114</v>
      </c>
      <c r="H1604" s="12">
        <f t="shared" si="24"/>
        <v>7380.09</v>
      </c>
    </row>
    <row r="1605" spans="1:8">
      <c r="A1605" s="14">
        <v>1600</v>
      </c>
      <c r="B1605" s="9">
        <v>45837</v>
      </c>
      <c r="C1605" s="10" t="s">
        <v>5</v>
      </c>
      <c r="D1605" s="10" t="s">
        <v>75</v>
      </c>
      <c r="E1605" s="11" t="s">
        <v>97</v>
      </c>
      <c r="F1605" s="12">
        <v>3155.03</v>
      </c>
      <c r="G1605" s="13" t="s">
        <v>114</v>
      </c>
      <c r="H1605" s="12">
        <f t="shared" ref="H1605:H1668" si="25">IF(C1605="Despesa", F1605*-1, F1605)</f>
        <v>3155.03</v>
      </c>
    </row>
    <row r="1606" spans="1:8">
      <c r="A1606" s="14">
        <v>1601</v>
      </c>
      <c r="B1606" s="9">
        <v>45837</v>
      </c>
      <c r="C1606" s="10" t="s">
        <v>5</v>
      </c>
      <c r="D1606" s="10" t="s">
        <v>75</v>
      </c>
      <c r="E1606" s="11" t="s">
        <v>93</v>
      </c>
      <c r="F1606" s="12">
        <v>3749.22</v>
      </c>
      <c r="G1606" s="13" t="s">
        <v>114</v>
      </c>
      <c r="H1606" s="12">
        <f t="shared" si="25"/>
        <v>3749.22</v>
      </c>
    </row>
    <row r="1607" spans="1:8">
      <c r="A1607" s="14">
        <v>1602</v>
      </c>
      <c r="B1607" s="9">
        <v>45838</v>
      </c>
      <c r="C1607" s="10" t="s">
        <v>5</v>
      </c>
      <c r="D1607" s="10" t="s">
        <v>76</v>
      </c>
      <c r="E1607" s="11" t="s">
        <v>87</v>
      </c>
      <c r="F1607" s="12">
        <v>1164.03</v>
      </c>
      <c r="G1607" s="13" t="s">
        <v>114</v>
      </c>
      <c r="H1607" s="12">
        <f t="shared" si="25"/>
        <v>1164.03</v>
      </c>
    </row>
    <row r="1608" spans="1:8">
      <c r="A1608" s="14">
        <v>1603</v>
      </c>
      <c r="B1608" s="9">
        <v>45838</v>
      </c>
      <c r="C1608" s="10" t="s">
        <v>5</v>
      </c>
      <c r="D1608" s="10" t="s">
        <v>75</v>
      </c>
      <c r="E1608" s="11" t="s">
        <v>78</v>
      </c>
      <c r="F1608" s="12">
        <v>5175.26</v>
      </c>
      <c r="G1608" s="13" t="s">
        <v>114</v>
      </c>
      <c r="H1608" s="12">
        <f t="shared" si="25"/>
        <v>5175.26</v>
      </c>
    </row>
    <row r="1609" spans="1:8">
      <c r="A1609" s="14">
        <v>1604</v>
      </c>
      <c r="B1609" s="9">
        <v>45838</v>
      </c>
      <c r="C1609" s="10" t="s">
        <v>5</v>
      </c>
      <c r="D1609" s="10" t="s">
        <v>75</v>
      </c>
      <c r="E1609" s="11" t="s">
        <v>93</v>
      </c>
      <c r="F1609" s="12">
        <v>5468.36</v>
      </c>
      <c r="G1609" s="13" t="s">
        <v>114</v>
      </c>
      <c r="H1609" s="12">
        <f t="shared" si="25"/>
        <v>5468.36</v>
      </c>
    </row>
    <row r="1610" spans="1:8">
      <c r="A1610" s="14">
        <v>1605</v>
      </c>
      <c r="B1610" s="9">
        <v>45839</v>
      </c>
      <c r="C1610" s="10" t="s">
        <v>5</v>
      </c>
      <c r="D1610" s="10" t="s">
        <v>75</v>
      </c>
      <c r="E1610" s="11" t="s">
        <v>78</v>
      </c>
      <c r="F1610" s="12">
        <v>10517.26</v>
      </c>
      <c r="G1610" s="13" t="s">
        <v>114</v>
      </c>
      <c r="H1610" s="12">
        <f t="shared" si="25"/>
        <v>10517.26</v>
      </c>
    </row>
    <row r="1611" spans="1:8">
      <c r="A1611" s="14">
        <v>1606</v>
      </c>
      <c r="B1611" s="9">
        <v>45839</v>
      </c>
      <c r="C1611" s="10" t="s">
        <v>5</v>
      </c>
      <c r="D1611" s="10" t="s">
        <v>75</v>
      </c>
      <c r="E1611" s="11" t="s">
        <v>111</v>
      </c>
      <c r="F1611" s="12">
        <v>2673.42</v>
      </c>
      <c r="G1611" s="13" t="s">
        <v>114</v>
      </c>
      <c r="H1611" s="12">
        <f t="shared" si="25"/>
        <v>2673.42</v>
      </c>
    </row>
    <row r="1612" spans="1:8">
      <c r="A1612" s="14">
        <v>1607</v>
      </c>
      <c r="B1612" s="9">
        <v>45839</v>
      </c>
      <c r="C1612" s="10" t="s">
        <v>5</v>
      </c>
      <c r="D1612" s="10" t="s">
        <v>75</v>
      </c>
      <c r="E1612" s="11" t="s">
        <v>106</v>
      </c>
      <c r="F1612" s="12">
        <v>1886.43</v>
      </c>
      <c r="G1612" s="13" t="s">
        <v>114</v>
      </c>
      <c r="H1612" s="12">
        <f t="shared" si="25"/>
        <v>1886.43</v>
      </c>
    </row>
    <row r="1613" spans="1:8">
      <c r="A1613" s="14">
        <v>1608</v>
      </c>
      <c r="B1613" s="9">
        <v>45839</v>
      </c>
      <c r="C1613" s="10" t="s">
        <v>5</v>
      </c>
      <c r="D1613" s="10" t="s">
        <v>76</v>
      </c>
      <c r="E1613" s="11" t="s">
        <v>87</v>
      </c>
      <c r="F1613" s="12">
        <v>566.09</v>
      </c>
      <c r="G1613" s="13" t="s">
        <v>114</v>
      </c>
      <c r="H1613" s="12">
        <f t="shared" si="25"/>
        <v>566.09</v>
      </c>
    </row>
    <row r="1614" spans="1:8">
      <c r="A1614" s="14">
        <v>1609</v>
      </c>
      <c r="B1614" s="9">
        <v>45839</v>
      </c>
      <c r="C1614" s="10" t="s">
        <v>5</v>
      </c>
      <c r="D1614" s="10" t="s">
        <v>75</v>
      </c>
      <c r="E1614" s="11" t="s">
        <v>97</v>
      </c>
      <c r="F1614" s="12">
        <v>2363.8000000000002</v>
      </c>
      <c r="G1614" s="13" t="s">
        <v>114</v>
      </c>
      <c r="H1614" s="12">
        <f t="shared" si="25"/>
        <v>2363.8000000000002</v>
      </c>
    </row>
    <row r="1615" spans="1:8">
      <c r="A1615" s="14">
        <v>1610</v>
      </c>
      <c r="B1615" s="9">
        <v>45840</v>
      </c>
      <c r="C1615" s="10" t="s">
        <v>5</v>
      </c>
      <c r="D1615" s="10" t="s">
        <v>18</v>
      </c>
      <c r="E1615" s="11" t="s">
        <v>98</v>
      </c>
      <c r="F1615" s="12">
        <v>11296.68</v>
      </c>
      <c r="G1615" s="13" t="s">
        <v>114</v>
      </c>
      <c r="H1615" s="12">
        <f t="shared" si="25"/>
        <v>11296.68</v>
      </c>
    </row>
    <row r="1616" spans="1:8">
      <c r="A1616" s="14">
        <v>1611</v>
      </c>
      <c r="B1616" s="9">
        <v>45840</v>
      </c>
      <c r="C1616" s="10" t="s">
        <v>5</v>
      </c>
      <c r="D1616" s="10" t="s">
        <v>75</v>
      </c>
      <c r="E1616" s="11" t="s">
        <v>93</v>
      </c>
      <c r="F1616" s="12">
        <v>6817.98</v>
      </c>
      <c r="G1616" s="13" t="s">
        <v>114</v>
      </c>
      <c r="H1616" s="12">
        <f t="shared" si="25"/>
        <v>6817.98</v>
      </c>
    </row>
    <row r="1617" spans="1:8">
      <c r="A1617" s="14">
        <v>1612</v>
      </c>
      <c r="B1617" s="9">
        <v>45841</v>
      </c>
      <c r="C1617" s="10" t="s">
        <v>5</v>
      </c>
      <c r="D1617" s="10" t="s">
        <v>75</v>
      </c>
      <c r="E1617" s="11" t="s">
        <v>106</v>
      </c>
      <c r="F1617" s="12">
        <v>1152.29</v>
      </c>
      <c r="G1617" s="13" t="s">
        <v>114</v>
      </c>
      <c r="H1617" s="12">
        <f t="shared" si="25"/>
        <v>1152.29</v>
      </c>
    </row>
    <row r="1618" spans="1:8">
      <c r="A1618" s="14">
        <v>1613</v>
      </c>
      <c r="B1618" s="9">
        <v>45842</v>
      </c>
      <c r="C1618" s="10" t="s">
        <v>5</v>
      </c>
      <c r="D1618" s="10" t="s">
        <v>75</v>
      </c>
      <c r="E1618" s="11" t="s">
        <v>89</v>
      </c>
      <c r="F1618" s="12">
        <v>2814.23</v>
      </c>
      <c r="G1618" s="13" t="s">
        <v>114</v>
      </c>
      <c r="H1618" s="12">
        <f t="shared" si="25"/>
        <v>2814.23</v>
      </c>
    </row>
    <row r="1619" spans="1:8">
      <c r="A1619" s="14">
        <v>1614</v>
      </c>
      <c r="B1619" s="9">
        <v>45842</v>
      </c>
      <c r="C1619" s="10" t="s">
        <v>5</v>
      </c>
      <c r="D1619" s="10" t="s">
        <v>75</v>
      </c>
      <c r="E1619" s="11" t="s">
        <v>82</v>
      </c>
      <c r="F1619" s="12">
        <v>4965.9399999999996</v>
      </c>
      <c r="G1619" s="13" t="s">
        <v>114</v>
      </c>
      <c r="H1619" s="12">
        <f t="shared" si="25"/>
        <v>4965.9399999999996</v>
      </c>
    </row>
    <row r="1620" spans="1:8">
      <c r="A1620" s="14">
        <v>1615</v>
      </c>
      <c r="B1620" s="9">
        <v>45842</v>
      </c>
      <c r="C1620" s="10" t="s">
        <v>5</v>
      </c>
      <c r="D1620" s="10" t="s">
        <v>75</v>
      </c>
      <c r="E1620" s="11" t="s">
        <v>97</v>
      </c>
      <c r="F1620" s="12">
        <v>1255.05</v>
      </c>
      <c r="G1620" s="13" t="s">
        <v>114</v>
      </c>
      <c r="H1620" s="12">
        <f t="shared" si="25"/>
        <v>1255.05</v>
      </c>
    </row>
    <row r="1621" spans="1:8">
      <c r="A1621" s="14">
        <v>1616</v>
      </c>
      <c r="B1621" s="9">
        <v>45842</v>
      </c>
      <c r="C1621" s="10" t="s">
        <v>5</v>
      </c>
      <c r="D1621" s="10" t="s">
        <v>18</v>
      </c>
      <c r="E1621" s="11" t="s">
        <v>86</v>
      </c>
      <c r="F1621" s="12">
        <v>14763.65</v>
      </c>
      <c r="G1621" s="13" t="s">
        <v>114</v>
      </c>
      <c r="H1621" s="12">
        <f t="shared" si="25"/>
        <v>14763.65</v>
      </c>
    </row>
    <row r="1622" spans="1:8">
      <c r="A1622" s="14">
        <v>1617</v>
      </c>
      <c r="B1622" s="9">
        <v>45843</v>
      </c>
      <c r="C1622" s="10" t="s">
        <v>5</v>
      </c>
      <c r="D1622" s="10" t="s">
        <v>75</v>
      </c>
      <c r="E1622" s="11" t="s">
        <v>101</v>
      </c>
      <c r="F1622" s="12">
        <v>7840.25</v>
      </c>
      <c r="G1622" s="13" t="s">
        <v>114</v>
      </c>
      <c r="H1622" s="12">
        <f t="shared" si="25"/>
        <v>7840.25</v>
      </c>
    </row>
    <row r="1623" spans="1:8">
      <c r="A1623" s="14">
        <v>1618</v>
      </c>
      <c r="B1623" s="9">
        <v>45843</v>
      </c>
      <c r="C1623" s="10" t="s">
        <v>5</v>
      </c>
      <c r="D1623" s="10" t="s">
        <v>77</v>
      </c>
      <c r="E1623" s="11" t="s">
        <v>84</v>
      </c>
      <c r="F1623" s="12">
        <v>1500.22</v>
      </c>
      <c r="G1623" s="13" t="s">
        <v>114</v>
      </c>
      <c r="H1623" s="12">
        <f t="shared" si="25"/>
        <v>1500.22</v>
      </c>
    </row>
    <row r="1624" spans="1:8">
      <c r="A1624" s="14">
        <v>1619</v>
      </c>
      <c r="B1624" s="9">
        <v>45845</v>
      </c>
      <c r="C1624" s="10" t="s">
        <v>5</v>
      </c>
      <c r="D1624" s="10" t="s">
        <v>76</v>
      </c>
      <c r="E1624" s="11" t="s">
        <v>87</v>
      </c>
      <c r="F1624" s="12">
        <v>989.71</v>
      </c>
      <c r="G1624" s="13" t="s">
        <v>114</v>
      </c>
      <c r="H1624" s="12">
        <f t="shared" si="25"/>
        <v>989.71</v>
      </c>
    </row>
    <row r="1625" spans="1:8">
      <c r="A1625" s="14">
        <v>1620</v>
      </c>
      <c r="B1625" s="9">
        <v>45846</v>
      </c>
      <c r="C1625" s="10" t="s">
        <v>5</v>
      </c>
      <c r="D1625" s="10" t="s">
        <v>75</v>
      </c>
      <c r="E1625" s="11" t="s">
        <v>111</v>
      </c>
      <c r="F1625" s="12">
        <v>2470.3200000000002</v>
      </c>
      <c r="G1625" s="13" t="s">
        <v>114</v>
      </c>
      <c r="H1625" s="12">
        <f t="shared" si="25"/>
        <v>2470.3200000000002</v>
      </c>
    </row>
    <row r="1626" spans="1:8">
      <c r="A1626" s="14">
        <v>1621</v>
      </c>
      <c r="B1626" s="9">
        <v>45846</v>
      </c>
      <c r="C1626" s="10" t="s">
        <v>5</v>
      </c>
      <c r="D1626" s="10" t="s">
        <v>75</v>
      </c>
      <c r="E1626" s="11" t="s">
        <v>85</v>
      </c>
      <c r="F1626" s="12">
        <v>6354.87</v>
      </c>
      <c r="G1626" s="13" t="s">
        <v>114</v>
      </c>
      <c r="H1626" s="12">
        <f t="shared" si="25"/>
        <v>6354.87</v>
      </c>
    </row>
    <row r="1627" spans="1:8">
      <c r="A1627" s="14">
        <v>1622</v>
      </c>
      <c r="B1627" s="9">
        <v>45847</v>
      </c>
      <c r="C1627" s="10" t="s">
        <v>5</v>
      </c>
      <c r="D1627" s="10" t="s">
        <v>75</v>
      </c>
      <c r="E1627" s="11" t="s">
        <v>93</v>
      </c>
      <c r="F1627" s="12">
        <v>6834.08</v>
      </c>
      <c r="G1627" s="13" t="s">
        <v>114</v>
      </c>
      <c r="H1627" s="12">
        <f t="shared" si="25"/>
        <v>6834.08</v>
      </c>
    </row>
    <row r="1628" spans="1:8">
      <c r="A1628" s="14">
        <v>1623</v>
      </c>
      <c r="B1628" s="9">
        <v>45847</v>
      </c>
      <c r="C1628" s="10" t="s">
        <v>5</v>
      </c>
      <c r="D1628" s="10" t="s">
        <v>18</v>
      </c>
      <c r="E1628" s="11" t="s">
        <v>98</v>
      </c>
      <c r="F1628" s="12">
        <v>22908.79</v>
      </c>
      <c r="G1628" s="13" t="s">
        <v>114</v>
      </c>
      <c r="H1628" s="12">
        <f t="shared" si="25"/>
        <v>22908.79</v>
      </c>
    </row>
    <row r="1629" spans="1:8">
      <c r="A1629" s="14">
        <v>1624</v>
      </c>
      <c r="B1629" s="9">
        <v>45848</v>
      </c>
      <c r="C1629" s="10" t="s">
        <v>5</v>
      </c>
      <c r="D1629" s="10" t="s">
        <v>75</v>
      </c>
      <c r="E1629" s="11" t="s">
        <v>97</v>
      </c>
      <c r="F1629" s="12">
        <v>643.23</v>
      </c>
      <c r="G1629" s="13" t="s">
        <v>114</v>
      </c>
      <c r="H1629" s="12">
        <f t="shared" si="25"/>
        <v>643.23</v>
      </c>
    </row>
    <row r="1630" spans="1:8">
      <c r="A1630" s="14">
        <v>1625</v>
      </c>
      <c r="B1630" s="9">
        <v>45849</v>
      </c>
      <c r="C1630" s="10" t="s">
        <v>5</v>
      </c>
      <c r="D1630" s="10" t="s">
        <v>75</v>
      </c>
      <c r="E1630" s="11" t="s">
        <v>89</v>
      </c>
      <c r="F1630" s="12">
        <v>4329.6000000000004</v>
      </c>
      <c r="G1630" s="13" t="s">
        <v>114</v>
      </c>
      <c r="H1630" s="12">
        <f t="shared" si="25"/>
        <v>4329.6000000000004</v>
      </c>
    </row>
    <row r="1631" spans="1:8">
      <c r="A1631" s="14">
        <v>1626</v>
      </c>
      <c r="B1631" s="9">
        <v>45850</v>
      </c>
      <c r="C1631" s="10" t="s">
        <v>5</v>
      </c>
      <c r="D1631" s="10" t="s">
        <v>75</v>
      </c>
      <c r="E1631" s="11" t="s">
        <v>78</v>
      </c>
      <c r="F1631" s="12">
        <v>8114.2</v>
      </c>
      <c r="G1631" s="13" t="s">
        <v>114</v>
      </c>
      <c r="H1631" s="12">
        <f t="shared" si="25"/>
        <v>8114.2</v>
      </c>
    </row>
    <row r="1632" spans="1:8">
      <c r="A1632" s="14">
        <v>1627</v>
      </c>
      <c r="B1632" s="9">
        <v>45852</v>
      </c>
      <c r="C1632" s="10" t="s">
        <v>5</v>
      </c>
      <c r="D1632" s="10" t="s">
        <v>75</v>
      </c>
      <c r="E1632" s="11" t="s">
        <v>78</v>
      </c>
      <c r="F1632" s="12">
        <v>3017.9</v>
      </c>
      <c r="G1632" s="13" t="s">
        <v>114</v>
      </c>
      <c r="H1632" s="12">
        <f t="shared" si="25"/>
        <v>3017.9</v>
      </c>
    </row>
    <row r="1633" spans="1:8">
      <c r="A1633" s="14">
        <v>1628</v>
      </c>
      <c r="B1633" s="9">
        <v>45852</v>
      </c>
      <c r="C1633" s="10" t="s">
        <v>5</v>
      </c>
      <c r="D1633" s="10" t="s">
        <v>75</v>
      </c>
      <c r="E1633" s="11" t="s">
        <v>78</v>
      </c>
      <c r="F1633" s="12">
        <v>7549.89</v>
      </c>
      <c r="G1633" s="13" t="s">
        <v>114</v>
      </c>
      <c r="H1633" s="12">
        <f t="shared" si="25"/>
        <v>7549.89</v>
      </c>
    </row>
    <row r="1634" spans="1:8">
      <c r="A1634" s="14">
        <v>1629</v>
      </c>
      <c r="B1634" s="9">
        <v>45852</v>
      </c>
      <c r="C1634" s="10" t="s">
        <v>5</v>
      </c>
      <c r="D1634" s="10" t="s">
        <v>76</v>
      </c>
      <c r="E1634" s="11" t="s">
        <v>99</v>
      </c>
      <c r="F1634" s="12">
        <v>4756.7299999999996</v>
      </c>
      <c r="G1634" s="13" t="s">
        <v>114</v>
      </c>
      <c r="H1634" s="12">
        <f t="shared" si="25"/>
        <v>4756.7299999999996</v>
      </c>
    </row>
    <row r="1635" spans="1:8">
      <c r="A1635" s="14">
        <v>1630</v>
      </c>
      <c r="B1635" s="9">
        <v>45853</v>
      </c>
      <c r="C1635" s="10" t="s">
        <v>5</v>
      </c>
      <c r="D1635" s="10" t="s">
        <v>75</v>
      </c>
      <c r="E1635" s="11" t="s">
        <v>78</v>
      </c>
      <c r="F1635" s="12">
        <v>4910.54</v>
      </c>
      <c r="G1635" s="13" t="s">
        <v>114</v>
      </c>
      <c r="H1635" s="12">
        <f t="shared" si="25"/>
        <v>4910.54</v>
      </c>
    </row>
    <row r="1636" spans="1:8">
      <c r="A1636" s="14">
        <v>1631</v>
      </c>
      <c r="B1636" s="9">
        <v>45853</v>
      </c>
      <c r="C1636" s="10" t="s">
        <v>5</v>
      </c>
      <c r="D1636" s="10" t="s">
        <v>75</v>
      </c>
      <c r="E1636" s="11" t="s">
        <v>93</v>
      </c>
      <c r="F1636" s="12">
        <v>3905.27</v>
      </c>
      <c r="G1636" s="13" t="s">
        <v>114</v>
      </c>
      <c r="H1636" s="12">
        <f t="shared" si="25"/>
        <v>3905.27</v>
      </c>
    </row>
    <row r="1637" spans="1:8">
      <c r="A1637" s="14">
        <v>1632</v>
      </c>
      <c r="B1637" s="9">
        <v>45853</v>
      </c>
      <c r="C1637" s="10" t="s">
        <v>5</v>
      </c>
      <c r="D1637" s="10" t="s">
        <v>75</v>
      </c>
      <c r="E1637" s="11" t="s">
        <v>78</v>
      </c>
      <c r="F1637" s="12">
        <v>4149.54</v>
      </c>
      <c r="G1637" s="13" t="s">
        <v>114</v>
      </c>
      <c r="H1637" s="12">
        <f t="shared" si="25"/>
        <v>4149.54</v>
      </c>
    </row>
    <row r="1638" spans="1:8">
      <c r="A1638" s="14">
        <v>1633</v>
      </c>
      <c r="B1638" s="9">
        <v>45853</v>
      </c>
      <c r="C1638" s="10" t="s">
        <v>5</v>
      </c>
      <c r="D1638" s="10" t="s">
        <v>75</v>
      </c>
      <c r="E1638" s="11" t="s">
        <v>85</v>
      </c>
      <c r="F1638" s="12">
        <v>6441.97</v>
      </c>
      <c r="G1638" s="13" t="s">
        <v>114</v>
      </c>
      <c r="H1638" s="12">
        <f t="shared" si="25"/>
        <v>6441.97</v>
      </c>
    </row>
    <row r="1639" spans="1:8">
      <c r="A1639" s="14">
        <v>1634</v>
      </c>
      <c r="B1639" s="9">
        <v>45853</v>
      </c>
      <c r="C1639" s="10" t="s">
        <v>5</v>
      </c>
      <c r="D1639" s="10" t="s">
        <v>77</v>
      </c>
      <c r="E1639" s="11" t="s">
        <v>81</v>
      </c>
      <c r="F1639" s="12">
        <v>6008.68</v>
      </c>
      <c r="G1639" s="13" t="s">
        <v>114</v>
      </c>
      <c r="H1639" s="12">
        <f t="shared" si="25"/>
        <v>6008.68</v>
      </c>
    </row>
    <row r="1640" spans="1:8">
      <c r="A1640" s="14">
        <v>1635</v>
      </c>
      <c r="B1640" s="9">
        <v>45854</v>
      </c>
      <c r="C1640" s="10" t="s">
        <v>5</v>
      </c>
      <c r="D1640" s="10" t="s">
        <v>76</v>
      </c>
      <c r="E1640" s="11" t="s">
        <v>95</v>
      </c>
      <c r="F1640" s="12">
        <v>4399.16</v>
      </c>
      <c r="G1640" s="13" t="s">
        <v>114</v>
      </c>
      <c r="H1640" s="12">
        <f t="shared" si="25"/>
        <v>4399.16</v>
      </c>
    </row>
    <row r="1641" spans="1:8">
      <c r="A1641" s="14">
        <v>1636</v>
      </c>
      <c r="B1641" s="9">
        <v>45854</v>
      </c>
      <c r="C1641" s="10" t="s">
        <v>5</v>
      </c>
      <c r="D1641" s="10" t="s">
        <v>75</v>
      </c>
      <c r="E1641" s="11" t="s">
        <v>101</v>
      </c>
      <c r="F1641" s="12">
        <v>13466.58</v>
      </c>
      <c r="G1641" s="13" t="s">
        <v>114</v>
      </c>
      <c r="H1641" s="12">
        <f t="shared" si="25"/>
        <v>13466.58</v>
      </c>
    </row>
    <row r="1642" spans="1:8">
      <c r="A1642" s="14">
        <v>1637</v>
      </c>
      <c r="B1642" s="9">
        <v>45855</v>
      </c>
      <c r="C1642" s="10" t="s">
        <v>5</v>
      </c>
      <c r="D1642" s="10" t="s">
        <v>76</v>
      </c>
      <c r="E1642" s="11" t="s">
        <v>80</v>
      </c>
      <c r="F1642" s="12">
        <v>5195.24</v>
      </c>
      <c r="G1642" s="13" t="s">
        <v>114</v>
      </c>
      <c r="H1642" s="12">
        <f t="shared" si="25"/>
        <v>5195.24</v>
      </c>
    </row>
    <row r="1643" spans="1:8">
      <c r="A1643" s="14">
        <v>1638</v>
      </c>
      <c r="B1643" s="9">
        <v>45855</v>
      </c>
      <c r="C1643" s="10" t="s">
        <v>5</v>
      </c>
      <c r="D1643" s="10" t="s">
        <v>75</v>
      </c>
      <c r="E1643" s="11" t="s">
        <v>111</v>
      </c>
      <c r="F1643" s="12">
        <v>2691.33</v>
      </c>
      <c r="G1643" s="13" t="s">
        <v>114</v>
      </c>
      <c r="H1643" s="12">
        <f t="shared" si="25"/>
        <v>2691.33</v>
      </c>
    </row>
    <row r="1644" spans="1:8">
      <c r="A1644" s="14">
        <v>1639</v>
      </c>
      <c r="B1644" s="9">
        <v>45855</v>
      </c>
      <c r="C1644" s="10" t="s">
        <v>5</v>
      </c>
      <c r="D1644" s="10" t="s">
        <v>75</v>
      </c>
      <c r="E1644" s="11" t="s">
        <v>106</v>
      </c>
      <c r="F1644" s="12">
        <v>5532.78</v>
      </c>
      <c r="G1644" s="13" t="s">
        <v>114</v>
      </c>
      <c r="H1644" s="12">
        <f t="shared" si="25"/>
        <v>5532.78</v>
      </c>
    </row>
    <row r="1645" spans="1:8">
      <c r="A1645" s="14">
        <v>1640</v>
      </c>
      <c r="B1645" s="9">
        <v>45855</v>
      </c>
      <c r="C1645" s="10" t="s">
        <v>5</v>
      </c>
      <c r="D1645" s="10" t="s">
        <v>76</v>
      </c>
      <c r="E1645" s="11" t="s">
        <v>95</v>
      </c>
      <c r="F1645" s="12">
        <v>3762.8</v>
      </c>
      <c r="G1645" s="13" t="s">
        <v>114</v>
      </c>
      <c r="H1645" s="12">
        <f t="shared" si="25"/>
        <v>3762.8</v>
      </c>
    </row>
    <row r="1646" spans="1:8">
      <c r="A1646" s="14">
        <v>1641</v>
      </c>
      <c r="B1646" s="9">
        <v>45856</v>
      </c>
      <c r="C1646" s="10" t="s">
        <v>5</v>
      </c>
      <c r="D1646" s="10" t="s">
        <v>75</v>
      </c>
      <c r="E1646" s="11" t="s">
        <v>82</v>
      </c>
      <c r="F1646" s="12">
        <v>6570.2</v>
      </c>
      <c r="G1646" s="13" t="s">
        <v>114</v>
      </c>
      <c r="H1646" s="12">
        <f t="shared" si="25"/>
        <v>6570.2</v>
      </c>
    </row>
    <row r="1647" spans="1:8">
      <c r="A1647" s="14">
        <v>1642</v>
      </c>
      <c r="B1647" s="9">
        <v>45856</v>
      </c>
      <c r="C1647" s="10" t="s">
        <v>5</v>
      </c>
      <c r="D1647" s="10" t="s">
        <v>76</v>
      </c>
      <c r="E1647" s="11" t="s">
        <v>87</v>
      </c>
      <c r="F1647" s="12">
        <v>967.27</v>
      </c>
      <c r="G1647" s="13" t="s">
        <v>114</v>
      </c>
      <c r="H1647" s="12">
        <f t="shared" si="25"/>
        <v>967.27</v>
      </c>
    </row>
    <row r="1648" spans="1:8">
      <c r="A1648" s="14">
        <v>1643</v>
      </c>
      <c r="B1648" s="9">
        <v>45857</v>
      </c>
      <c r="C1648" s="10" t="s">
        <v>5</v>
      </c>
      <c r="D1648" s="10" t="s">
        <v>75</v>
      </c>
      <c r="E1648" s="11" t="s">
        <v>111</v>
      </c>
      <c r="F1648" s="12">
        <v>4675.91</v>
      </c>
      <c r="G1648" s="13" t="s">
        <v>114</v>
      </c>
      <c r="H1648" s="12">
        <f t="shared" si="25"/>
        <v>4675.91</v>
      </c>
    </row>
    <row r="1649" spans="1:8">
      <c r="A1649" s="14">
        <v>1644</v>
      </c>
      <c r="B1649" s="9">
        <v>45857</v>
      </c>
      <c r="C1649" s="10" t="s">
        <v>5</v>
      </c>
      <c r="D1649" s="10" t="s">
        <v>76</v>
      </c>
      <c r="E1649" s="11" t="s">
        <v>87</v>
      </c>
      <c r="F1649" s="12">
        <v>234.75</v>
      </c>
      <c r="G1649" s="13" t="s">
        <v>114</v>
      </c>
      <c r="H1649" s="12">
        <f t="shared" si="25"/>
        <v>234.75</v>
      </c>
    </row>
    <row r="1650" spans="1:8">
      <c r="A1650" s="14">
        <v>1645</v>
      </c>
      <c r="B1650" s="9">
        <v>45858</v>
      </c>
      <c r="C1650" s="10" t="s">
        <v>5</v>
      </c>
      <c r="D1650" s="10" t="s">
        <v>75</v>
      </c>
      <c r="E1650" s="11" t="s">
        <v>106</v>
      </c>
      <c r="F1650" s="12">
        <v>2979.68</v>
      </c>
      <c r="G1650" s="13" t="s">
        <v>114</v>
      </c>
      <c r="H1650" s="12">
        <f t="shared" si="25"/>
        <v>2979.68</v>
      </c>
    </row>
    <row r="1651" spans="1:8">
      <c r="A1651" s="14">
        <v>1646</v>
      </c>
      <c r="B1651" s="9">
        <v>45858</v>
      </c>
      <c r="C1651" s="10" t="s">
        <v>5</v>
      </c>
      <c r="D1651" s="10" t="s">
        <v>75</v>
      </c>
      <c r="E1651" s="11" t="s">
        <v>78</v>
      </c>
      <c r="F1651" s="12">
        <v>8572.42</v>
      </c>
      <c r="G1651" s="13" t="s">
        <v>114</v>
      </c>
      <c r="H1651" s="12">
        <f t="shared" si="25"/>
        <v>8572.42</v>
      </c>
    </row>
    <row r="1652" spans="1:8">
      <c r="A1652" s="14">
        <v>1647</v>
      </c>
      <c r="B1652" s="9">
        <v>45859</v>
      </c>
      <c r="C1652" s="10" t="s">
        <v>5</v>
      </c>
      <c r="D1652" s="10" t="s">
        <v>77</v>
      </c>
      <c r="E1652" s="11" t="s">
        <v>103</v>
      </c>
      <c r="F1652" s="12">
        <v>18403.5</v>
      </c>
      <c r="G1652" s="13" t="s">
        <v>114</v>
      </c>
      <c r="H1652" s="12">
        <f t="shared" si="25"/>
        <v>18403.5</v>
      </c>
    </row>
    <row r="1653" spans="1:8">
      <c r="A1653" s="14">
        <v>1648</v>
      </c>
      <c r="B1653" s="9">
        <v>45859</v>
      </c>
      <c r="C1653" s="10" t="s">
        <v>5</v>
      </c>
      <c r="D1653" s="10" t="s">
        <v>76</v>
      </c>
      <c r="E1653" s="11" t="s">
        <v>80</v>
      </c>
      <c r="F1653" s="12">
        <v>6085.84</v>
      </c>
      <c r="G1653" s="13" t="s">
        <v>114</v>
      </c>
      <c r="H1653" s="12">
        <f t="shared" si="25"/>
        <v>6085.84</v>
      </c>
    </row>
    <row r="1654" spans="1:8">
      <c r="A1654" s="14">
        <v>1649</v>
      </c>
      <c r="B1654" s="9">
        <v>45860</v>
      </c>
      <c r="C1654" s="10" t="s">
        <v>5</v>
      </c>
      <c r="D1654" s="10" t="s">
        <v>75</v>
      </c>
      <c r="E1654" s="11" t="s">
        <v>82</v>
      </c>
      <c r="F1654" s="12">
        <v>8486.24</v>
      </c>
      <c r="G1654" s="13" t="s">
        <v>114</v>
      </c>
      <c r="H1654" s="12">
        <f t="shared" si="25"/>
        <v>8486.24</v>
      </c>
    </row>
    <row r="1655" spans="1:8">
      <c r="A1655" s="14">
        <v>1650</v>
      </c>
      <c r="B1655" s="9">
        <v>45860</v>
      </c>
      <c r="C1655" s="10" t="s">
        <v>5</v>
      </c>
      <c r="D1655" s="10" t="s">
        <v>75</v>
      </c>
      <c r="E1655" s="11" t="s">
        <v>97</v>
      </c>
      <c r="F1655" s="12">
        <v>1580.31</v>
      </c>
      <c r="G1655" s="13" t="s">
        <v>114</v>
      </c>
      <c r="H1655" s="12">
        <f t="shared" si="25"/>
        <v>1580.31</v>
      </c>
    </row>
    <row r="1656" spans="1:8">
      <c r="A1656" s="14">
        <v>1651</v>
      </c>
      <c r="B1656" s="9">
        <v>45860</v>
      </c>
      <c r="C1656" s="10" t="s">
        <v>5</v>
      </c>
      <c r="D1656" s="10" t="s">
        <v>75</v>
      </c>
      <c r="E1656" s="11" t="s">
        <v>89</v>
      </c>
      <c r="F1656" s="12">
        <v>7194.74</v>
      </c>
      <c r="G1656" s="13" t="s">
        <v>114</v>
      </c>
      <c r="H1656" s="12">
        <f t="shared" si="25"/>
        <v>7194.74</v>
      </c>
    </row>
    <row r="1657" spans="1:8">
      <c r="A1657" s="14">
        <v>1652</v>
      </c>
      <c r="B1657" s="9">
        <v>45860</v>
      </c>
      <c r="C1657" s="10" t="s">
        <v>5</v>
      </c>
      <c r="D1657" s="10" t="s">
        <v>75</v>
      </c>
      <c r="E1657" s="11" t="s">
        <v>111</v>
      </c>
      <c r="F1657" s="12">
        <v>1793.92</v>
      </c>
      <c r="G1657" s="13" t="s">
        <v>114</v>
      </c>
      <c r="H1657" s="12">
        <f t="shared" si="25"/>
        <v>1793.92</v>
      </c>
    </row>
    <row r="1658" spans="1:8">
      <c r="A1658" s="14">
        <v>1653</v>
      </c>
      <c r="B1658" s="9">
        <v>45860</v>
      </c>
      <c r="C1658" s="10" t="s">
        <v>5</v>
      </c>
      <c r="D1658" s="10" t="s">
        <v>77</v>
      </c>
      <c r="E1658" s="11" t="s">
        <v>84</v>
      </c>
      <c r="F1658" s="12">
        <v>885.19</v>
      </c>
      <c r="G1658" s="13" t="s">
        <v>114</v>
      </c>
      <c r="H1658" s="12">
        <f t="shared" si="25"/>
        <v>885.19</v>
      </c>
    </row>
    <row r="1659" spans="1:8">
      <c r="A1659" s="14">
        <v>1654</v>
      </c>
      <c r="B1659" s="9">
        <v>45861</v>
      </c>
      <c r="C1659" s="10" t="s">
        <v>5</v>
      </c>
      <c r="D1659" s="10" t="s">
        <v>75</v>
      </c>
      <c r="E1659" s="11" t="s">
        <v>89</v>
      </c>
      <c r="F1659" s="12">
        <v>5443.75</v>
      </c>
      <c r="G1659" s="13" t="s">
        <v>114</v>
      </c>
      <c r="H1659" s="12">
        <f t="shared" si="25"/>
        <v>5443.75</v>
      </c>
    </row>
    <row r="1660" spans="1:8">
      <c r="A1660" s="14">
        <v>1655</v>
      </c>
      <c r="B1660" s="9">
        <v>45861</v>
      </c>
      <c r="C1660" s="10" t="s">
        <v>5</v>
      </c>
      <c r="D1660" s="10" t="s">
        <v>75</v>
      </c>
      <c r="E1660" s="11" t="s">
        <v>106</v>
      </c>
      <c r="F1660" s="12">
        <v>2000.54</v>
      </c>
      <c r="G1660" s="13" t="s">
        <v>114</v>
      </c>
      <c r="H1660" s="12">
        <f t="shared" si="25"/>
        <v>2000.54</v>
      </c>
    </row>
    <row r="1661" spans="1:8">
      <c r="A1661" s="14">
        <v>1656</v>
      </c>
      <c r="B1661" s="9">
        <v>45861</v>
      </c>
      <c r="C1661" s="10" t="s">
        <v>5</v>
      </c>
      <c r="D1661" s="10" t="s">
        <v>75</v>
      </c>
      <c r="E1661" s="11" t="s">
        <v>97</v>
      </c>
      <c r="F1661" s="12">
        <v>1741.76</v>
      </c>
      <c r="G1661" s="13" t="s">
        <v>114</v>
      </c>
      <c r="H1661" s="12">
        <f t="shared" si="25"/>
        <v>1741.76</v>
      </c>
    </row>
    <row r="1662" spans="1:8">
      <c r="A1662" s="14">
        <v>1657</v>
      </c>
      <c r="B1662" s="9">
        <v>45862</v>
      </c>
      <c r="C1662" s="10" t="s">
        <v>5</v>
      </c>
      <c r="D1662" s="10" t="s">
        <v>76</v>
      </c>
      <c r="E1662" s="11" t="s">
        <v>91</v>
      </c>
      <c r="F1662" s="12">
        <v>8305.17</v>
      </c>
      <c r="G1662" s="13" t="s">
        <v>114</v>
      </c>
      <c r="H1662" s="12">
        <f t="shared" si="25"/>
        <v>8305.17</v>
      </c>
    </row>
    <row r="1663" spans="1:8">
      <c r="A1663" s="14">
        <v>1658</v>
      </c>
      <c r="B1663" s="9">
        <v>45862</v>
      </c>
      <c r="C1663" s="10" t="s">
        <v>5</v>
      </c>
      <c r="D1663" s="10" t="s">
        <v>75</v>
      </c>
      <c r="E1663" s="11" t="s">
        <v>78</v>
      </c>
      <c r="F1663" s="12">
        <v>9249.5300000000007</v>
      </c>
      <c r="G1663" s="13" t="s">
        <v>114</v>
      </c>
      <c r="H1663" s="12">
        <f t="shared" si="25"/>
        <v>9249.5300000000007</v>
      </c>
    </row>
    <row r="1664" spans="1:8">
      <c r="A1664" s="14">
        <v>1659</v>
      </c>
      <c r="B1664" s="9">
        <v>45862</v>
      </c>
      <c r="C1664" s="10" t="s">
        <v>5</v>
      </c>
      <c r="D1664" s="10" t="s">
        <v>75</v>
      </c>
      <c r="E1664" s="11" t="s">
        <v>93</v>
      </c>
      <c r="F1664" s="12">
        <v>3394.44</v>
      </c>
      <c r="G1664" s="13" t="s">
        <v>114</v>
      </c>
      <c r="H1664" s="12">
        <f t="shared" si="25"/>
        <v>3394.44</v>
      </c>
    </row>
    <row r="1665" spans="1:8">
      <c r="A1665" s="14">
        <v>1660</v>
      </c>
      <c r="B1665" s="9">
        <v>45862</v>
      </c>
      <c r="C1665" s="10" t="s">
        <v>5</v>
      </c>
      <c r="D1665" s="10" t="s">
        <v>75</v>
      </c>
      <c r="E1665" s="11" t="s">
        <v>78</v>
      </c>
      <c r="F1665" s="12">
        <v>8326.25</v>
      </c>
      <c r="G1665" s="13" t="s">
        <v>114</v>
      </c>
      <c r="H1665" s="12">
        <f t="shared" si="25"/>
        <v>8326.25</v>
      </c>
    </row>
    <row r="1666" spans="1:8">
      <c r="A1666" s="14">
        <v>1661</v>
      </c>
      <c r="B1666" s="9">
        <v>45864</v>
      </c>
      <c r="C1666" s="10" t="s">
        <v>5</v>
      </c>
      <c r="D1666" s="10" t="s">
        <v>75</v>
      </c>
      <c r="E1666" s="11" t="s">
        <v>82</v>
      </c>
      <c r="F1666" s="12">
        <v>5059.7700000000004</v>
      </c>
      <c r="G1666" s="13" t="s">
        <v>114</v>
      </c>
      <c r="H1666" s="12">
        <f t="shared" si="25"/>
        <v>5059.7700000000004</v>
      </c>
    </row>
    <row r="1667" spans="1:8">
      <c r="A1667" s="14">
        <v>1662</v>
      </c>
      <c r="B1667" s="9">
        <v>45866</v>
      </c>
      <c r="C1667" s="10" t="s">
        <v>5</v>
      </c>
      <c r="D1667" s="10" t="s">
        <v>76</v>
      </c>
      <c r="E1667" s="11" t="s">
        <v>87</v>
      </c>
      <c r="F1667" s="12">
        <v>642.16</v>
      </c>
      <c r="G1667" s="13" t="s">
        <v>114</v>
      </c>
      <c r="H1667" s="12">
        <f t="shared" si="25"/>
        <v>642.16</v>
      </c>
    </row>
    <row r="1668" spans="1:8">
      <c r="A1668" s="14">
        <v>1663</v>
      </c>
      <c r="B1668" s="9">
        <v>45866</v>
      </c>
      <c r="C1668" s="10" t="s">
        <v>5</v>
      </c>
      <c r="D1668" s="10" t="s">
        <v>18</v>
      </c>
      <c r="E1668" s="11" t="s">
        <v>90</v>
      </c>
      <c r="F1668" s="12">
        <v>5554.77</v>
      </c>
      <c r="G1668" s="13" t="s">
        <v>114</v>
      </c>
      <c r="H1668" s="12">
        <f t="shared" si="25"/>
        <v>5554.77</v>
      </c>
    </row>
    <row r="1669" spans="1:8">
      <c r="A1669" s="14">
        <v>1664</v>
      </c>
      <c r="B1669" s="9">
        <v>45866</v>
      </c>
      <c r="C1669" s="10" t="s">
        <v>5</v>
      </c>
      <c r="D1669" s="10" t="s">
        <v>76</v>
      </c>
      <c r="E1669" s="11" t="s">
        <v>80</v>
      </c>
      <c r="F1669" s="12">
        <v>2703.65</v>
      </c>
      <c r="G1669" s="13" t="s">
        <v>114</v>
      </c>
      <c r="H1669" s="12">
        <f t="shared" ref="H1669:H1732" si="26">IF(C1669="Despesa", F1669*-1, F1669)</f>
        <v>2703.65</v>
      </c>
    </row>
    <row r="1670" spans="1:8">
      <c r="A1670" s="14">
        <v>1665</v>
      </c>
      <c r="B1670" s="9">
        <v>45866</v>
      </c>
      <c r="C1670" s="10" t="s">
        <v>5</v>
      </c>
      <c r="D1670" s="10" t="s">
        <v>75</v>
      </c>
      <c r="E1670" s="11" t="s">
        <v>78</v>
      </c>
      <c r="F1670" s="12">
        <v>8188.36</v>
      </c>
      <c r="G1670" s="13" t="s">
        <v>114</v>
      </c>
      <c r="H1670" s="12">
        <f t="shared" si="26"/>
        <v>8188.36</v>
      </c>
    </row>
    <row r="1671" spans="1:8">
      <c r="A1671" s="14">
        <v>1666</v>
      </c>
      <c r="B1671" s="9">
        <v>45867</v>
      </c>
      <c r="C1671" s="10" t="s">
        <v>5</v>
      </c>
      <c r="D1671" s="10" t="s">
        <v>75</v>
      </c>
      <c r="E1671" s="11" t="s">
        <v>111</v>
      </c>
      <c r="F1671" s="12">
        <v>2165.87</v>
      </c>
      <c r="G1671" s="13" t="s">
        <v>114</v>
      </c>
      <c r="H1671" s="12">
        <f t="shared" si="26"/>
        <v>2165.87</v>
      </c>
    </row>
    <row r="1672" spans="1:8">
      <c r="A1672" s="14">
        <v>1667</v>
      </c>
      <c r="B1672" s="9">
        <v>45867</v>
      </c>
      <c r="C1672" s="10" t="s">
        <v>5</v>
      </c>
      <c r="D1672" s="10" t="s">
        <v>76</v>
      </c>
      <c r="E1672" s="11" t="s">
        <v>91</v>
      </c>
      <c r="F1672" s="12">
        <v>5274.66</v>
      </c>
      <c r="G1672" s="13" t="s">
        <v>114</v>
      </c>
      <c r="H1672" s="12">
        <f t="shared" si="26"/>
        <v>5274.66</v>
      </c>
    </row>
    <row r="1673" spans="1:8">
      <c r="A1673" s="14">
        <v>1668</v>
      </c>
      <c r="B1673" s="9">
        <v>45867</v>
      </c>
      <c r="C1673" s="10" t="s">
        <v>5</v>
      </c>
      <c r="D1673" s="10" t="s">
        <v>18</v>
      </c>
      <c r="E1673" s="11" t="s">
        <v>90</v>
      </c>
      <c r="F1673" s="12">
        <v>3848.96</v>
      </c>
      <c r="G1673" s="13" t="s">
        <v>114</v>
      </c>
      <c r="H1673" s="12">
        <f t="shared" si="26"/>
        <v>3848.96</v>
      </c>
    </row>
    <row r="1674" spans="1:8">
      <c r="A1674" s="14">
        <v>1669</v>
      </c>
      <c r="B1674" s="9">
        <v>45867</v>
      </c>
      <c r="C1674" s="10" t="s">
        <v>5</v>
      </c>
      <c r="D1674" s="10" t="s">
        <v>75</v>
      </c>
      <c r="E1674" s="11" t="s">
        <v>85</v>
      </c>
      <c r="F1674" s="12">
        <v>3537.04</v>
      </c>
      <c r="G1674" s="13" t="s">
        <v>114</v>
      </c>
      <c r="H1674" s="12">
        <f t="shared" si="26"/>
        <v>3537.04</v>
      </c>
    </row>
    <row r="1675" spans="1:8">
      <c r="A1675" s="14">
        <v>1670</v>
      </c>
      <c r="B1675" s="9">
        <v>45867</v>
      </c>
      <c r="C1675" s="10" t="s">
        <v>5</v>
      </c>
      <c r="D1675" s="10" t="s">
        <v>75</v>
      </c>
      <c r="E1675" s="11" t="s">
        <v>93</v>
      </c>
      <c r="F1675" s="12">
        <v>3905</v>
      </c>
      <c r="G1675" s="13" t="s">
        <v>114</v>
      </c>
      <c r="H1675" s="12">
        <f t="shared" si="26"/>
        <v>3905</v>
      </c>
    </row>
    <row r="1676" spans="1:8">
      <c r="A1676" s="14">
        <v>1671</v>
      </c>
      <c r="B1676" s="9">
        <v>45867</v>
      </c>
      <c r="C1676" s="10" t="s">
        <v>5</v>
      </c>
      <c r="D1676" s="10" t="s">
        <v>75</v>
      </c>
      <c r="E1676" s="11" t="s">
        <v>82</v>
      </c>
      <c r="F1676" s="12">
        <v>4338.29</v>
      </c>
      <c r="G1676" s="13" t="s">
        <v>114</v>
      </c>
      <c r="H1676" s="12">
        <f t="shared" si="26"/>
        <v>4338.29</v>
      </c>
    </row>
    <row r="1677" spans="1:8">
      <c r="A1677" s="14">
        <v>1672</v>
      </c>
      <c r="B1677" s="9">
        <v>45868</v>
      </c>
      <c r="C1677" s="10" t="s">
        <v>5</v>
      </c>
      <c r="D1677" s="10" t="s">
        <v>75</v>
      </c>
      <c r="E1677" s="11" t="s">
        <v>82</v>
      </c>
      <c r="F1677" s="12">
        <v>1070.8499999999999</v>
      </c>
      <c r="G1677" s="13" t="s">
        <v>114</v>
      </c>
      <c r="H1677" s="12">
        <f t="shared" si="26"/>
        <v>1070.8499999999999</v>
      </c>
    </row>
    <row r="1678" spans="1:8">
      <c r="A1678" s="14">
        <v>1673</v>
      </c>
      <c r="B1678" s="9">
        <v>45869</v>
      </c>
      <c r="C1678" s="10" t="s">
        <v>5</v>
      </c>
      <c r="D1678" s="10" t="s">
        <v>77</v>
      </c>
      <c r="E1678" s="11" t="s">
        <v>88</v>
      </c>
      <c r="F1678" s="12">
        <v>7958.2</v>
      </c>
      <c r="G1678" s="13" t="s">
        <v>114</v>
      </c>
      <c r="H1678" s="12">
        <f t="shared" si="26"/>
        <v>7958.2</v>
      </c>
    </row>
    <row r="1679" spans="1:8">
      <c r="A1679" s="14">
        <v>1674</v>
      </c>
      <c r="B1679" s="9">
        <v>45869</v>
      </c>
      <c r="C1679" s="10" t="s">
        <v>5</v>
      </c>
      <c r="D1679" s="10" t="s">
        <v>76</v>
      </c>
      <c r="E1679" s="11" t="s">
        <v>80</v>
      </c>
      <c r="F1679" s="12">
        <v>6105.83</v>
      </c>
      <c r="G1679" s="13" t="s">
        <v>114</v>
      </c>
      <c r="H1679" s="12">
        <f t="shared" si="26"/>
        <v>6105.83</v>
      </c>
    </row>
    <row r="1680" spans="1:8">
      <c r="A1680" s="14">
        <v>1675</v>
      </c>
      <c r="B1680" s="9">
        <v>45869</v>
      </c>
      <c r="C1680" s="10" t="s">
        <v>5</v>
      </c>
      <c r="D1680" s="10" t="s">
        <v>75</v>
      </c>
      <c r="E1680" s="11" t="s">
        <v>78</v>
      </c>
      <c r="F1680" s="12">
        <v>1428.17</v>
      </c>
      <c r="G1680" s="13" t="s">
        <v>114</v>
      </c>
      <c r="H1680" s="12">
        <f t="shared" si="26"/>
        <v>1428.17</v>
      </c>
    </row>
    <row r="1681" spans="1:8">
      <c r="A1681" s="14">
        <v>1676</v>
      </c>
      <c r="B1681" s="9">
        <v>45870</v>
      </c>
      <c r="C1681" s="10" t="s">
        <v>5</v>
      </c>
      <c r="D1681" s="10" t="s">
        <v>75</v>
      </c>
      <c r="E1681" s="11" t="s">
        <v>78</v>
      </c>
      <c r="F1681" s="12">
        <v>7077.35</v>
      </c>
      <c r="G1681" s="13" t="s">
        <v>114</v>
      </c>
      <c r="H1681" s="12">
        <f t="shared" si="26"/>
        <v>7077.35</v>
      </c>
    </row>
    <row r="1682" spans="1:8">
      <c r="A1682" s="14">
        <v>1677</v>
      </c>
      <c r="B1682" s="9">
        <v>45871</v>
      </c>
      <c r="C1682" s="10" t="s">
        <v>5</v>
      </c>
      <c r="D1682" s="10" t="s">
        <v>76</v>
      </c>
      <c r="E1682" s="11" t="s">
        <v>99</v>
      </c>
      <c r="F1682" s="12">
        <v>3923.61</v>
      </c>
      <c r="G1682" s="13" t="s">
        <v>114</v>
      </c>
      <c r="H1682" s="12">
        <f t="shared" si="26"/>
        <v>3923.61</v>
      </c>
    </row>
    <row r="1683" spans="1:8">
      <c r="A1683" s="14">
        <v>1678</v>
      </c>
      <c r="B1683" s="9">
        <v>45873</v>
      </c>
      <c r="C1683" s="10" t="s">
        <v>5</v>
      </c>
      <c r="D1683" s="10" t="s">
        <v>18</v>
      </c>
      <c r="E1683" s="11" t="s">
        <v>107</v>
      </c>
      <c r="F1683" s="12">
        <v>4880.46</v>
      </c>
      <c r="G1683" s="13" t="s">
        <v>114</v>
      </c>
      <c r="H1683" s="12">
        <f t="shared" si="26"/>
        <v>4880.46</v>
      </c>
    </row>
    <row r="1684" spans="1:8">
      <c r="A1684" s="14">
        <v>1679</v>
      </c>
      <c r="B1684" s="9">
        <v>45874</v>
      </c>
      <c r="C1684" s="10" t="s">
        <v>5</v>
      </c>
      <c r="D1684" s="10" t="s">
        <v>77</v>
      </c>
      <c r="E1684" s="11" t="s">
        <v>84</v>
      </c>
      <c r="F1684" s="12">
        <v>3758.11</v>
      </c>
      <c r="G1684" s="13" t="s">
        <v>114</v>
      </c>
      <c r="H1684" s="12">
        <f t="shared" si="26"/>
        <v>3758.11</v>
      </c>
    </row>
    <row r="1685" spans="1:8">
      <c r="A1685" s="14">
        <v>1680</v>
      </c>
      <c r="B1685" s="9">
        <v>45874</v>
      </c>
      <c r="C1685" s="10" t="s">
        <v>5</v>
      </c>
      <c r="D1685" s="10" t="s">
        <v>75</v>
      </c>
      <c r="E1685" s="11" t="s">
        <v>78</v>
      </c>
      <c r="F1685" s="12">
        <v>4163.32</v>
      </c>
      <c r="G1685" s="13" t="s">
        <v>114</v>
      </c>
      <c r="H1685" s="12">
        <f t="shared" si="26"/>
        <v>4163.32</v>
      </c>
    </row>
    <row r="1686" spans="1:8">
      <c r="A1686" s="14">
        <v>1681</v>
      </c>
      <c r="B1686" s="9">
        <v>45874</v>
      </c>
      <c r="C1686" s="10" t="s">
        <v>5</v>
      </c>
      <c r="D1686" s="10" t="s">
        <v>75</v>
      </c>
      <c r="E1686" s="11" t="s">
        <v>82</v>
      </c>
      <c r="F1686" s="12">
        <v>8255.19</v>
      </c>
      <c r="G1686" s="13" t="s">
        <v>114</v>
      </c>
      <c r="H1686" s="12">
        <f t="shared" si="26"/>
        <v>8255.19</v>
      </c>
    </row>
    <row r="1687" spans="1:8">
      <c r="A1687" s="14">
        <v>1682</v>
      </c>
      <c r="B1687" s="9">
        <v>45874</v>
      </c>
      <c r="C1687" s="10" t="s">
        <v>5</v>
      </c>
      <c r="D1687" s="10" t="s">
        <v>76</v>
      </c>
      <c r="E1687" s="11" t="s">
        <v>80</v>
      </c>
      <c r="F1687" s="12">
        <v>6301.56</v>
      </c>
      <c r="G1687" s="13" t="s">
        <v>114</v>
      </c>
      <c r="H1687" s="12">
        <f t="shared" si="26"/>
        <v>6301.56</v>
      </c>
    </row>
    <row r="1688" spans="1:8">
      <c r="A1688" s="14">
        <v>1683</v>
      </c>
      <c r="B1688" s="9">
        <v>45875</v>
      </c>
      <c r="C1688" s="10" t="s">
        <v>5</v>
      </c>
      <c r="D1688" s="10" t="s">
        <v>77</v>
      </c>
      <c r="E1688" s="11" t="s">
        <v>81</v>
      </c>
      <c r="F1688" s="12">
        <v>2524.31</v>
      </c>
      <c r="G1688" s="13" t="s">
        <v>114</v>
      </c>
      <c r="H1688" s="12">
        <f t="shared" si="26"/>
        <v>2524.31</v>
      </c>
    </row>
    <row r="1689" spans="1:8">
      <c r="A1689" s="14">
        <v>1684</v>
      </c>
      <c r="B1689" s="9">
        <v>45876</v>
      </c>
      <c r="C1689" s="10" t="s">
        <v>5</v>
      </c>
      <c r="D1689" s="10" t="s">
        <v>75</v>
      </c>
      <c r="E1689" s="11" t="s">
        <v>82</v>
      </c>
      <c r="F1689" s="12">
        <v>3394.51</v>
      </c>
      <c r="G1689" s="13" t="s">
        <v>114</v>
      </c>
      <c r="H1689" s="12">
        <f t="shared" si="26"/>
        <v>3394.51</v>
      </c>
    </row>
    <row r="1690" spans="1:8">
      <c r="A1690" s="14">
        <v>1685</v>
      </c>
      <c r="B1690" s="9">
        <v>45876</v>
      </c>
      <c r="C1690" s="10" t="s">
        <v>5</v>
      </c>
      <c r="D1690" s="10" t="s">
        <v>75</v>
      </c>
      <c r="E1690" s="11" t="s">
        <v>85</v>
      </c>
      <c r="F1690" s="12">
        <v>2522.4699999999998</v>
      </c>
      <c r="G1690" s="13" t="s">
        <v>114</v>
      </c>
      <c r="H1690" s="12">
        <f t="shared" si="26"/>
        <v>2522.4699999999998</v>
      </c>
    </row>
    <row r="1691" spans="1:8">
      <c r="A1691" s="14">
        <v>1686</v>
      </c>
      <c r="B1691" s="9">
        <v>45877</v>
      </c>
      <c r="C1691" s="10" t="s">
        <v>5</v>
      </c>
      <c r="D1691" s="10" t="s">
        <v>76</v>
      </c>
      <c r="E1691" s="11" t="s">
        <v>95</v>
      </c>
      <c r="F1691" s="12">
        <v>3082.32</v>
      </c>
      <c r="G1691" s="13" t="s">
        <v>114</v>
      </c>
      <c r="H1691" s="12">
        <f t="shared" si="26"/>
        <v>3082.32</v>
      </c>
    </row>
    <row r="1692" spans="1:8">
      <c r="A1692" s="14">
        <v>1687</v>
      </c>
      <c r="B1692" s="9">
        <v>45877</v>
      </c>
      <c r="C1692" s="10" t="s">
        <v>5</v>
      </c>
      <c r="D1692" s="10" t="s">
        <v>75</v>
      </c>
      <c r="E1692" s="11" t="s">
        <v>78</v>
      </c>
      <c r="F1692" s="12">
        <v>4551.99</v>
      </c>
      <c r="G1692" s="13" t="s">
        <v>114</v>
      </c>
      <c r="H1692" s="12">
        <f t="shared" si="26"/>
        <v>4551.99</v>
      </c>
    </row>
    <row r="1693" spans="1:8">
      <c r="A1693" s="14">
        <v>1688</v>
      </c>
      <c r="B1693" s="9">
        <v>45879</v>
      </c>
      <c r="C1693" s="10" t="s">
        <v>5</v>
      </c>
      <c r="D1693" s="10" t="s">
        <v>75</v>
      </c>
      <c r="E1693" s="11" t="s">
        <v>78</v>
      </c>
      <c r="F1693" s="12">
        <v>3906.24</v>
      </c>
      <c r="G1693" s="13" t="s">
        <v>114</v>
      </c>
      <c r="H1693" s="12">
        <f t="shared" si="26"/>
        <v>3906.24</v>
      </c>
    </row>
    <row r="1694" spans="1:8">
      <c r="A1694" s="14">
        <v>1689</v>
      </c>
      <c r="B1694" s="9">
        <v>45880</v>
      </c>
      <c r="C1694" s="10" t="s">
        <v>5</v>
      </c>
      <c r="D1694" s="10" t="s">
        <v>75</v>
      </c>
      <c r="E1694" s="11" t="s">
        <v>101</v>
      </c>
      <c r="F1694" s="12">
        <v>11379.4</v>
      </c>
      <c r="G1694" s="13" t="s">
        <v>114</v>
      </c>
      <c r="H1694" s="12">
        <f t="shared" si="26"/>
        <v>11379.4</v>
      </c>
    </row>
    <row r="1695" spans="1:8">
      <c r="A1695" s="14">
        <v>1690</v>
      </c>
      <c r="B1695" s="9">
        <v>45880</v>
      </c>
      <c r="C1695" s="10" t="s">
        <v>5</v>
      </c>
      <c r="D1695" s="10" t="s">
        <v>77</v>
      </c>
      <c r="E1695" s="11" t="s">
        <v>81</v>
      </c>
      <c r="F1695" s="12">
        <v>1535.37</v>
      </c>
      <c r="G1695" s="13" t="s">
        <v>114</v>
      </c>
      <c r="H1695" s="12">
        <f t="shared" si="26"/>
        <v>1535.37</v>
      </c>
    </row>
    <row r="1696" spans="1:8">
      <c r="A1696" s="14">
        <v>1691</v>
      </c>
      <c r="B1696" s="9">
        <v>45882</v>
      </c>
      <c r="C1696" s="10" t="s">
        <v>5</v>
      </c>
      <c r="D1696" s="10" t="s">
        <v>75</v>
      </c>
      <c r="E1696" s="11" t="s">
        <v>89</v>
      </c>
      <c r="F1696" s="12">
        <v>3544.09</v>
      </c>
      <c r="G1696" s="13" t="s">
        <v>114</v>
      </c>
      <c r="H1696" s="12">
        <f t="shared" si="26"/>
        <v>3544.09</v>
      </c>
    </row>
    <row r="1697" spans="1:8">
      <c r="A1697" s="14">
        <v>1692</v>
      </c>
      <c r="B1697" s="9">
        <v>45882</v>
      </c>
      <c r="C1697" s="10" t="s">
        <v>5</v>
      </c>
      <c r="D1697" s="10" t="s">
        <v>75</v>
      </c>
      <c r="E1697" s="11" t="s">
        <v>101</v>
      </c>
      <c r="F1697" s="12">
        <v>2848.9</v>
      </c>
      <c r="G1697" s="13" t="s">
        <v>114</v>
      </c>
      <c r="H1697" s="12">
        <f t="shared" si="26"/>
        <v>2848.9</v>
      </c>
    </row>
    <row r="1698" spans="1:8">
      <c r="A1698" s="14">
        <v>1693</v>
      </c>
      <c r="B1698" s="9">
        <v>45883</v>
      </c>
      <c r="C1698" s="10" t="s">
        <v>5</v>
      </c>
      <c r="D1698" s="10" t="s">
        <v>77</v>
      </c>
      <c r="E1698" s="11" t="s">
        <v>88</v>
      </c>
      <c r="F1698" s="12">
        <v>3655.62</v>
      </c>
      <c r="G1698" s="13" t="s">
        <v>114</v>
      </c>
      <c r="H1698" s="12">
        <f t="shared" si="26"/>
        <v>3655.62</v>
      </c>
    </row>
    <row r="1699" spans="1:8">
      <c r="A1699" s="14">
        <v>1694</v>
      </c>
      <c r="B1699" s="9">
        <v>45883</v>
      </c>
      <c r="C1699" s="10" t="s">
        <v>5</v>
      </c>
      <c r="D1699" s="10" t="s">
        <v>76</v>
      </c>
      <c r="E1699" s="11" t="s">
        <v>95</v>
      </c>
      <c r="F1699" s="12">
        <v>2888.03</v>
      </c>
      <c r="G1699" s="13" t="s">
        <v>114</v>
      </c>
      <c r="H1699" s="12">
        <f t="shared" si="26"/>
        <v>2888.03</v>
      </c>
    </row>
    <row r="1700" spans="1:8">
      <c r="A1700" s="14">
        <v>1695</v>
      </c>
      <c r="B1700" s="9">
        <v>45884</v>
      </c>
      <c r="C1700" s="10" t="s">
        <v>5</v>
      </c>
      <c r="D1700" s="10" t="s">
        <v>75</v>
      </c>
      <c r="E1700" s="11" t="s">
        <v>106</v>
      </c>
      <c r="F1700" s="12">
        <v>2166.4</v>
      </c>
      <c r="G1700" s="13" t="s">
        <v>114</v>
      </c>
      <c r="H1700" s="12">
        <f t="shared" si="26"/>
        <v>2166.4</v>
      </c>
    </row>
    <row r="1701" spans="1:8">
      <c r="A1701" s="14">
        <v>1696</v>
      </c>
      <c r="B1701" s="9">
        <v>45884</v>
      </c>
      <c r="C1701" s="10" t="s">
        <v>5</v>
      </c>
      <c r="D1701" s="10" t="s">
        <v>75</v>
      </c>
      <c r="E1701" s="11" t="s">
        <v>85</v>
      </c>
      <c r="F1701" s="12">
        <v>7019.38</v>
      </c>
      <c r="G1701" s="13" t="s">
        <v>114</v>
      </c>
      <c r="H1701" s="12">
        <f t="shared" si="26"/>
        <v>7019.38</v>
      </c>
    </row>
    <row r="1702" spans="1:8">
      <c r="A1702" s="14">
        <v>1697</v>
      </c>
      <c r="B1702" s="9">
        <v>45884</v>
      </c>
      <c r="C1702" s="10" t="s">
        <v>5</v>
      </c>
      <c r="D1702" s="10" t="s">
        <v>18</v>
      </c>
      <c r="E1702" s="11" t="s">
        <v>79</v>
      </c>
      <c r="F1702" s="12">
        <v>14548.32</v>
      </c>
      <c r="G1702" s="13" t="s">
        <v>114</v>
      </c>
      <c r="H1702" s="12">
        <f t="shared" si="26"/>
        <v>14548.32</v>
      </c>
    </row>
    <row r="1703" spans="1:8">
      <c r="A1703" s="14">
        <v>1698</v>
      </c>
      <c r="B1703" s="9">
        <v>45884</v>
      </c>
      <c r="C1703" s="10" t="s">
        <v>5</v>
      </c>
      <c r="D1703" s="10" t="s">
        <v>18</v>
      </c>
      <c r="E1703" s="11" t="s">
        <v>90</v>
      </c>
      <c r="F1703" s="12">
        <v>4589.4399999999996</v>
      </c>
      <c r="G1703" s="13" t="s">
        <v>114</v>
      </c>
      <c r="H1703" s="12">
        <f t="shared" si="26"/>
        <v>4589.4399999999996</v>
      </c>
    </row>
    <row r="1704" spans="1:8">
      <c r="A1704" s="14">
        <v>1699</v>
      </c>
      <c r="B1704" s="9">
        <v>45884</v>
      </c>
      <c r="C1704" s="10" t="s">
        <v>5</v>
      </c>
      <c r="D1704" s="10" t="s">
        <v>75</v>
      </c>
      <c r="E1704" s="11" t="s">
        <v>97</v>
      </c>
      <c r="F1704" s="12">
        <v>2171.9699999999998</v>
      </c>
      <c r="G1704" s="13" t="s">
        <v>114</v>
      </c>
      <c r="H1704" s="12">
        <f t="shared" si="26"/>
        <v>2171.9699999999998</v>
      </c>
    </row>
    <row r="1705" spans="1:8">
      <c r="A1705" s="14">
        <v>1700</v>
      </c>
      <c r="B1705" s="9">
        <v>45886</v>
      </c>
      <c r="C1705" s="10" t="s">
        <v>5</v>
      </c>
      <c r="D1705" s="10" t="s">
        <v>75</v>
      </c>
      <c r="E1705" s="11" t="s">
        <v>78</v>
      </c>
      <c r="F1705" s="12">
        <v>6421.83</v>
      </c>
      <c r="G1705" s="13" t="s">
        <v>114</v>
      </c>
      <c r="H1705" s="12">
        <f t="shared" si="26"/>
        <v>6421.83</v>
      </c>
    </row>
    <row r="1706" spans="1:8">
      <c r="A1706" s="14">
        <v>1701</v>
      </c>
      <c r="B1706" s="9">
        <v>45887</v>
      </c>
      <c r="C1706" s="10" t="s">
        <v>5</v>
      </c>
      <c r="D1706" s="10" t="s">
        <v>75</v>
      </c>
      <c r="E1706" s="11" t="s">
        <v>85</v>
      </c>
      <c r="F1706" s="12">
        <v>3021.39</v>
      </c>
      <c r="G1706" s="13" t="s">
        <v>114</v>
      </c>
      <c r="H1706" s="12">
        <f t="shared" si="26"/>
        <v>3021.39</v>
      </c>
    </row>
    <row r="1707" spans="1:8">
      <c r="A1707" s="14">
        <v>1702</v>
      </c>
      <c r="B1707" s="9">
        <v>45887</v>
      </c>
      <c r="C1707" s="10" t="s">
        <v>5</v>
      </c>
      <c r="D1707" s="10" t="s">
        <v>75</v>
      </c>
      <c r="E1707" s="11" t="s">
        <v>93</v>
      </c>
      <c r="F1707" s="12">
        <v>5265.74</v>
      </c>
      <c r="G1707" s="13" t="s">
        <v>114</v>
      </c>
      <c r="H1707" s="12">
        <f t="shared" si="26"/>
        <v>5265.74</v>
      </c>
    </row>
    <row r="1708" spans="1:8">
      <c r="A1708" s="14">
        <v>1703</v>
      </c>
      <c r="B1708" s="9">
        <v>45887</v>
      </c>
      <c r="C1708" s="10" t="s">
        <v>5</v>
      </c>
      <c r="D1708" s="10" t="s">
        <v>75</v>
      </c>
      <c r="E1708" s="11" t="s">
        <v>106</v>
      </c>
      <c r="F1708" s="12">
        <v>2469.12</v>
      </c>
      <c r="G1708" s="13" t="s">
        <v>114</v>
      </c>
      <c r="H1708" s="12">
        <f t="shared" si="26"/>
        <v>2469.12</v>
      </c>
    </row>
    <row r="1709" spans="1:8">
      <c r="A1709" s="14">
        <v>1704</v>
      </c>
      <c r="B1709" s="9">
        <v>45887</v>
      </c>
      <c r="C1709" s="10" t="s">
        <v>5</v>
      </c>
      <c r="D1709" s="10" t="s">
        <v>75</v>
      </c>
      <c r="E1709" s="11" t="s">
        <v>82</v>
      </c>
      <c r="F1709" s="12">
        <v>7510.92</v>
      </c>
      <c r="G1709" s="13" t="s">
        <v>114</v>
      </c>
      <c r="H1709" s="12">
        <f t="shared" si="26"/>
        <v>7510.92</v>
      </c>
    </row>
    <row r="1710" spans="1:8">
      <c r="A1710" s="14">
        <v>1705</v>
      </c>
      <c r="B1710" s="9">
        <v>45888</v>
      </c>
      <c r="C1710" s="10" t="s">
        <v>5</v>
      </c>
      <c r="D1710" s="10" t="s">
        <v>75</v>
      </c>
      <c r="E1710" s="11" t="s">
        <v>85</v>
      </c>
      <c r="F1710" s="12">
        <v>7972.57</v>
      </c>
      <c r="G1710" s="13" t="s">
        <v>114</v>
      </c>
      <c r="H1710" s="12">
        <f t="shared" si="26"/>
        <v>7972.57</v>
      </c>
    </row>
    <row r="1711" spans="1:8">
      <c r="A1711" s="14">
        <v>1706</v>
      </c>
      <c r="B1711" s="9">
        <v>45888</v>
      </c>
      <c r="C1711" s="10" t="s">
        <v>5</v>
      </c>
      <c r="D1711" s="10" t="s">
        <v>76</v>
      </c>
      <c r="E1711" s="11" t="s">
        <v>87</v>
      </c>
      <c r="F1711" s="12">
        <v>1179.95</v>
      </c>
      <c r="G1711" s="13" t="s">
        <v>114</v>
      </c>
      <c r="H1711" s="12">
        <f t="shared" si="26"/>
        <v>1179.95</v>
      </c>
    </row>
    <row r="1712" spans="1:8">
      <c r="A1712" s="14">
        <v>1707</v>
      </c>
      <c r="B1712" s="9">
        <v>45889</v>
      </c>
      <c r="C1712" s="10" t="s">
        <v>5</v>
      </c>
      <c r="D1712" s="10" t="s">
        <v>18</v>
      </c>
      <c r="E1712" s="11" t="s">
        <v>79</v>
      </c>
      <c r="F1712" s="12">
        <v>8605.35</v>
      </c>
      <c r="G1712" s="13" t="s">
        <v>114</v>
      </c>
      <c r="H1712" s="12">
        <f t="shared" si="26"/>
        <v>8605.35</v>
      </c>
    </row>
    <row r="1713" spans="1:8">
      <c r="A1713" s="14">
        <v>1708</v>
      </c>
      <c r="B1713" s="9">
        <v>45889</v>
      </c>
      <c r="C1713" s="10" t="s">
        <v>5</v>
      </c>
      <c r="D1713" s="10" t="s">
        <v>75</v>
      </c>
      <c r="E1713" s="11" t="s">
        <v>78</v>
      </c>
      <c r="F1713" s="12">
        <v>4717.2700000000004</v>
      </c>
      <c r="G1713" s="13" t="s">
        <v>114</v>
      </c>
      <c r="H1713" s="12">
        <f t="shared" si="26"/>
        <v>4717.2700000000004</v>
      </c>
    </row>
    <row r="1714" spans="1:8">
      <c r="A1714" s="14">
        <v>1709</v>
      </c>
      <c r="B1714" s="9">
        <v>45889</v>
      </c>
      <c r="C1714" s="10" t="s">
        <v>5</v>
      </c>
      <c r="D1714" s="10" t="s">
        <v>76</v>
      </c>
      <c r="E1714" s="11" t="s">
        <v>87</v>
      </c>
      <c r="F1714" s="12">
        <v>327.57</v>
      </c>
      <c r="G1714" s="13" t="s">
        <v>114</v>
      </c>
      <c r="H1714" s="12">
        <f t="shared" si="26"/>
        <v>327.57</v>
      </c>
    </row>
    <row r="1715" spans="1:8">
      <c r="A1715" s="14">
        <v>1710</v>
      </c>
      <c r="B1715" s="9">
        <v>45889</v>
      </c>
      <c r="C1715" s="10" t="s">
        <v>5</v>
      </c>
      <c r="D1715" s="10" t="s">
        <v>75</v>
      </c>
      <c r="E1715" s="11" t="s">
        <v>106</v>
      </c>
      <c r="F1715" s="12">
        <v>2501.91</v>
      </c>
      <c r="G1715" s="13" t="s">
        <v>114</v>
      </c>
      <c r="H1715" s="12">
        <f t="shared" si="26"/>
        <v>2501.91</v>
      </c>
    </row>
    <row r="1716" spans="1:8">
      <c r="A1716" s="14">
        <v>1711</v>
      </c>
      <c r="B1716" s="9">
        <v>45889</v>
      </c>
      <c r="C1716" s="10" t="s">
        <v>5</v>
      </c>
      <c r="D1716" s="10" t="s">
        <v>75</v>
      </c>
      <c r="E1716" s="11" t="s">
        <v>78</v>
      </c>
      <c r="F1716" s="12">
        <v>4067.55</v>
      </c>
      <c r="G1716" s="13" t="s">
        <v>114</v>
      </c>
      <c r="H1716" s="12">
        <f t="shared" si="26"/>
        <v>4067.55</v>
      </c>
    </row>
    <row r="1717" spans="1:8">
      <c r="A1717" s="14">
        <v>1712</v>
      </c>
      <c r="B1717" s="9">
        <v>45891</v>
      </c>
      <c r="C1717" s="10" t="s">
        <v>5</v>
      </c>
      <c r="D1717" s="10" t="s">
        <v>75</v>
      </c>
      <c r="E1717" s="11" t="s">
        <v>93</v>
      </c>
      <c r="F1717" s="12">
        <v>7557.8</v>
      </c>
      <c r="G1717" s="13" t="s">
        <v>114</v>
      </c>
      <c r="H1717" s="12">
        <f t="shared" si="26"/>
        <v>7557.8</v>
      </c>
    </row>
    <row r="1718" spans="1:8">
      <c r="A1718" s="14">
        <v>1713</v>
      </c>
      <c r="B1718" s="9">
        <v>45891</v>
      </c>
      <c r="C1718" s="10" t="s">
        <v>5</v>
      </c>
      <c r="D1718" s="10" t="s">
        <v>75</v>
      </c>
      <c r="E1718" s="11" t="s">
        <v>111</v>
      </c>
      <c r="F1718" s="12">
        <v>3551.6</v>
      </c>
      <c r="G1718" s="13" t="s">
        <v>114</v>
      </c>
      <c r="H1718" s="12">
        <f t="shared" si="26"/>
        <v>3551.6</v>
      </c>
    </row>
    <row r="1719" spans="1:8">
      <c r="A1719" s="14">
        <v>1714</v>
      </c>
      <c r="B1719" s="9">
        <v>45892</v>
      </c>
      <c r="C1719" s="10" t="s">
        <v>5</v>
      </c>
      <c r="D1719" s="10" t="s">
        <v>75</v>
      </c>
      <c r="E1719" s="11" t="s">
        <v>78</v>
      </c>
      <c r="F1719" s="12">
        <v>4645.78</v>
      </c>
      <c r="G1719" s="13" t="s">
        <v>114</v>
      </c>
      <c r="H1719" s="12">
        <f t="shared" si="26"/>
        <v>4645.78</v>
      </c>
    </row>
    <row r="1720" spans="1:8">
      <c r="A1720" s="14">
        <v>1715</v>
      </c>
      <c r="B1720" s="9">
        <v>45892</v>
      </c>
      <c r="C1720" s="10" t="s">
        <v>5</v>
      </c>
      <c r="D1720" s="10" t="s">
        <v>75</v>
      </c>
      <c r="E1720" s="11" t="s">
        <v>101</v>
      </c>
      <c r="F1720" s="12">
        <v>10601.9</v>
      </c>
      <c r="G1720" s="13" t="s">
        <v>114</v>
      </c>
      <c r="H1720" s="12">
        <f t="shared" si="26"/>
        <v>10601.9</v>
      </c>
    </row>
    <row r="1721" spans="1:8">
      <c r="A1721" s="14">
        <v>1716</v>
      </c>
      <c r="B1721" s="9">
        <v>45892</v>
      </c>
      <c r="C1721" s="10" t="s">
        <v>5</v>
      </c>
      <c r="D1721" s="10" t="s">
        <v>18</v>
      </c>
      <c r="E1721" s="11" t="s">
        <v>94</v>
      </c>
      <c r="F1721" s="12">
        <v>8924</v>
      </c>
      <c r="G1721" s="13" t="s">
        <v>114</v>
      </c>
      <c r="H1721" s="12">
        <f t="shared" si="26"/>
        <v>8924</v>
      </c>
    </row>
    <row r="1722" spans="1:8">
      <c r="A1722" s="14">
        <v>1717</v>
      </c>
      <c r="B1722" s="9">
        <v>45894</v>
      </c>
      <c r="C1722" s="10" t="s">
        <v>5</v>
      </c>
      <c r="D1722" s="10" t="s">
        <v>76</v>
      </c>
      <c r="E1722" s="11" t="s">
        <v>91</v>
      </c>
      <c r="F1722" s="12">
        <v>8404.7999999999993</v>
      </c>
      <c r="G1722" s="13" t="s">
        <v>114</v>
      </c>
      <c r="H1722" s="12">
        <f t="shared" si="26"/>
        <v>8404.7999999999993</v>
      </c>
    </row>
    <row r="1723" spans="1:8">
      <c r="A1723" s="14">
        <v>1718</v>
      </c>
      <c r="B1723" s="9">
        <v>45894</v>
      </c>
      <c r="C1723" s="10" t="s">
        <v>5</v>
      </c>
      <c r="D1723" s="10" t="s">
        <v>75</v>
      </c>
      <c r="E1723" s="11" t="s">
        <v>106</v>
      </c>
      <c r="F1723" s="12">
        <v>3142.54</v>
      </c>
      <c r="G1723" s="13" t="s">
        <v>114</v>
      </c>
      <c r="H1723" s="12">
        <f t="shared" si="26"/>
        <v>3142.54</v>
      </c>
    </row>
    <row r="1724" spans="1:8">
      <c r="A1724" s="14">
        <v>1719</v>
      </c>
      <c r="B1724" s="9">
        <v>45894</v>
      </c>
      <c r="C1724" s="10" t="s">
        <v>5</v>
      </c>
      <c r="D1724" s="10" t="s">
        <v>75</v>
      </c>
      <c r="E1724" s="11" t="s">
        <v>101</v>
      </c>
      <c r="F1724" s="12">
        <v>2517.87</v>
      </c>
      <c r="G1724" s="13" t="s">
        <v>114</v>
      </c>
      <c r="H1724" s="12">
        <f t="shared" si="26"/>
        <v>2517.87</v>
      </c>
    </row>
    <row r="1725" spans="1:8">
      <c r="A1725" s="14">
        <v>1720</v>
      </c>
      <c r="B1725" s="9">
        <v>45895</v>
      </c>
      <c r="C1725" s="10" t="s">
        <v>5</v>
      </c>
      <c r="D1725" s="10" t="s">
        <v>77</v>
      </c>
      <c r="E1725" s="11" t="s">
        <v>108</v>
      </c>
      <c r="F1725" s="12">
        <v>3679.5</v>
      </c>
      <c r="G1725" s="13" t="s">
        <v>114</v>
      </c>
      <c r="H1725" s="12">
        <f t="shared" si="26"/>
        <v>3679.5</v>
      </c>
    </row>
    <row r="1726" spans="1:8">
      <c r="A1726" s="14">
        <v>1721</v>
      </c>
      <c r="B1726" s="9">
        <v>45895</v>
      </c>
      <c r="C1726" s="10" t="s">
        <v>5</v>
      </c>
      <c r="D1726" s="10" t="s">
        <v>76</v>
      </c>
      <c r="E1726" s="11" t="s">
        <v>87</v>
      </c>
      <c r="F1726" s="12">
        <v>1839.33</v>
      </c>
      <c r="G1726" s="13" t="s">
        <v>114</v>
      </c>
      <c r="H1726" s="12">
        <f t="shared" si="26"/>
        <v>1839.33</v>
      </c>
    </row>
    <row r="1727" spans="1:8">
      <c r="A1727" s="14">
        <v>1722</v>
      </c>
      <c r="B1727" s="9">
        <v>45896</v>
      </c>
      <c r="C1727" s="10" t="s">
        <v>5</v>
      </c>
      <c r="D1727" s="10" t="s">
        <v>76</v>
      </c>
      <c r="E1727" s="11" t="s">
        <v>80</v>
      </c>
      <c r="F1727" s="12">
        <v>5918.47</v>
      </c>
      <c r="G1727" s="13" t="s">
        <v>114</v>
      </c>
      <c r="H1727" s="12">
        <f t="shared" si="26"/>
        <v>5918.47</v>
      </c>
    </row>
    <row r="1728" spans="1:8">
      <c r="A1728" s="14">
        <v>1723</v>
      </c>
      <c r="B1728" s="9">
        <v>45896</v>
      </c>
      <c r="C1728" s="10" t="s">
        <v>5</v>
      </c>
      <c r="D1728" s="10" t="s">
        <v>75</v>
      </c>
      <c r="E1728" s="11" t="s">
        <v>82</v>
      </c>
      <c r="F1728" s="12">
        <v>3652.72</v>
      </c>
      <c r="G1728" s="13" t="s">
        <v>114</v>
      </c>
      <c r="H1728" s="12">
        <f t="shared" si="26"/>
        <v>3652.72</v>
      </c>
    </row>
    <row r="1729" spans="1:8">
      <c r="A1729" s="14">
        <v>1724</v>
      </c>
      <c r="B1729" s="9">
        <v>45896</v>
      </c>
      <c r="C1729" s="10" t="s">
        <v>5</v>
      </c>
      <c r="D1729" s="10" t="s">
        <v>75</v>
      </c>
      <c r="E1729" s="11" t="s">
        <v>93</v>
      </c>
      <c r="F1729" s="12">
        <v>2492.5</v>
      </c>
      <c r="G1729" s="13" t="s">
        <v>114</v>
      </c>
      <c r="H1729" s="12">
        <f t="shared" si="26"/>
        <v>2492.5</v>
      </c>
    </row>
    <row r="1730" spans="1:8">
      <c r="A1730" s="14">
        <v>1725</v>
      </c>
      <c r="B1730" s="9">
        <v>45897</v>
      </c>
      <c r="C1730" s="10" t="s">
        <v>5</v>
      </c>
      <c r="D1730" s="10" t="s">
        <v>76</v>
      </c>
      <c r="E1730" s="11" t="s">
        <v>99</v>
      </c>
      <c r="F1730" s="12">
        <v>4822.88</v>
      </c>
      <c r="G1730" s="13" t="s">
        <v>114</v>
      </c>
      <c r="H1730" s="12">
        <f t="shared" si="26"/>
        <v>4822.88</v>
      </c>
    </row>
    <row r="1731" spans="1:8">
      <c r="A1731" s="14">
        <v>1726</v>
      </c>
      <c r="B1731" s="9">
        <v>45898</v>
      </c>
      <c r="C1731" s="10" t="s">
        <v>5</v>
      </c>
      <c r="D1731" s="10" t="s">
        <v>76</v>
      </c>
      <c r="E1731" s="11" t="s">
        <v>83</v>
      </c>
      <c r="F1731" s="12">
        <v>28673.4</v>
      </c>
      <c r="G1731" s="13" t="s">
        <v>114</v>
      </c>
      <c r="H1731" s="12">
        <f t="shared" si="26"/>
        <v>28673.4</v>
      </c>
    </row>
    <row r="1732" spans="1:8">
      <c r="A1732" s="14">
        <v>1727</v>
      </c>
      <c r="B1732" s="9">
        <v>45898</v>
      </c>
      <c r="C1732" s="10" t="s">
        <v>5</v>
      </c>
      <c r="D1732" s="10" t="s">
        <v>18</v>
      </c>
      <c r="E1732" s="11" t="s">
        <v>90</v>
      </c>
      <c r="F1732" s="12">
        <v>8708.5400000000009</v>
      </c>
      <c r="G1732" s="13" t="s">
        <v>114</v>
      </c>
      <c r="H1732" s="12">
        <f t="shared" si="26"/>
        <v>8708.5400000000009</v>
      </c>
    </row>
    <row r="1733" spans="1:8">
      <c r="A1733" s="14">
        <v>1728</v>
      </c>
      <c r="B1733" s="9">
        <v>45900</v>
      </c>
      <c r="C1733" s="10" t="s">
        <v>5</v>
      </c>
      <c r="D1733" s="10" t="s">
        <v>75</v>
      </c>
      <c r="E1733" s="11" t="s">
        <v>101</v>
      </c>
      <c r="F1733" s="12">
        <v>11463.44</v>
      </c>
      <c r="G1733" s="13" t="s">
        <v>114</v>
      </c>
      <c r="H1733" s="12">
        <f t="shared" ref="H1733:H1796" si="27">IF(C1733="Despesa", F1733*-1, F1733)</f>
        <v>11463.44</v>
      </c>
    </row>
    <row r="1734" spans="1:8">
      <c r="A1734" s="14">
        <v>1729</v>
      </c>
      <c r="B1734" s="9">
        <v>45900</v>
      </c>
      <c r="C1734" s="10" t="s">
        <v>5</v>
      </c>
      <c r="D1734" s="10" t="s">
        <v>75</v>
      </c>
      <c r="E1734" s="11" t="s">
        <v>82</v>
      </c>
      <c r="F1734" s="12">
        <v>6117.06</v>
      </c>
      <c r="G1734" s="13" t="s">
        <v>114</v>
      </c>
      <c r="H1734" s="12">
        <f t="shared" si="27"/>
        <v>6117.06</v>
      </c>
    </row>
    <row r="1735" spans="1:8">
      <c r="A1735" s="14">
        <v>1730</v>
      </c>
      <c r="B1735" s="9">
        <v>45901</v>
      </c>
      <c r="C1735" s="10" t="s">
        <v>5</v>
      </c>
      <c r="D1735" s="10" t="s">
        <v>75</v>
      </c>
      <c r="E1735" s="11" t="s">
        <v>111</v>
      </c>
      <c r="F1735" s="12">
        <v>1050.72</v>
      </c>
      <c r="G1735" s="13" t="s">
        <v>114</v>
      </c>
      <c r="H1735" s="12">
        <f t="shared" si="27"/>
        <v>1050.72</v>
      </c>
    </row>
    <row r="1736" spans="1:8">
      <c r="A1736" s="14">
        <v>1731</v>
      </c>
      <c r="B1736" s="9">
        <v>45902</v>
      </c>
      <c r="C1736" s="10" t="s">
        <v>5</v>
      </c>
      <c r="D1736" s="10" t="s">
        <v>75</v>
      </c>
      <c r="E1736" s="11" t="s">
        <v>78</v>
      </c>
      <c r="F1736" s="12">
        <v>7552.24</v>
      </c>
      <c r="G1736" s="13" t="s">
        <v>114</v>
      </c>
      <c r="H1736" s="12">
        <f t="shared" si="27"/>
        <v>7552.24</v>
      </c>
    </row>
    <row r="1737" spans="1:8">
      <c r="A1737" s="14">
        <v>1732</v>
      </c>
      <c r="B1737" s="9">
        <v>45902</v>
      </c>
      <c r="C1737" s="10" t="s">
        <v>5</v>
      </c>
      <c r="D1737" s="10" t="s">
        <v>75</v>
      </c>
      <c r="E1737" s="11" t="s">
        <v>82</v>
      </c>
      <c r="F1737" s="12">
        <v>8465.7099999999991</v>
      </c>
      <c r="G1737" s="13" t="s">
        <v>114</v>
      </c>
      <c r="H1737" s="12">
        <f t="shared" si="27"/>
        <v>8465.7099999999991</v>
      </c>
    </row>
    <row r="1738" spans="1:8">
      <c r="A1738" s="14">
        <v>1733</v>
      </c>
      <c r="B1738" s="9">
        <v>45902</v>
      </c>
      <c r="C1738" s="10" t="s">
        <v>5</v>
      </c>
      <c r="D1738" s="10" t="s">
        <v>75</v>
      </c>
      <c r="E1738" s="11" t="s">
        <v>78</v>
      </c>
      <c r="F1738" s="12">
        <v>4579.9799999999996</v>
      </c>
      <c r="G1738" s="13" t="s">
        <v>114</v>
      </c>
      <c r="H1738" s="12">
        <f t="shared" si="27"/>
        <v>4579.9799999999996</v>
      </c>
    </row>
    <row r="1739" spans="1:8">
      <c r="A1739" s="14">
        <v>1734</v>
      </c>
      <c r="B1739" s="9">
        <v>45903</v>
      </c>
      <c r="C1739" s="10" t="s">
        <v>5</v>
      </c>
      <c r="D1739" s="10" t="s">
        <v>77</v>
      </c>
      <c r="E1739" s="11" t="s">
        <v>81</v>
      </c>
      <c r="F1739" s="12">
        <v>3884.07</v>
      </c>
      <c r="G1739" s="13" t="s">
        <v>114</v>
      </c>
      <c r="H1739" s="12">
        <f t="shared" si="27"/>
        <v>3884.07</v>
      </c>
    </row>
    <row r="1740" spans="1:8">
      <c r="A1740" s="14">
        <v>1735</v>
      </c>
      <c r="B1740" s="9">
        <v>45903</v>
      </c>
      <c r="C1740" s="10" t="s">
        <v>5</v>
      </c>
      <c r="D1740" s="10" t="s">
        <v>75</v>
      </c>
      <c r="E1740" s="11" t="s">
        <v>93</v>
      </c>
      <c r="F1740" s="12">
        <v>4026.47</v>
      </c>
      <c r="G1740" s="13" t="s">
        <v>114</v>
      </c>
      <c r="H1740" s="12">
        <f t="shared" si="27"/>
        <v>4026.47</v>
      </c>
    </row>
    <row r="1741" spans="1:8">
      <c r="A1741" s="14">
        <v>1736</v>
      </c>
      <c r="B1741" s="9">
        <v>45905</v>
      </c>
      <c r="C1741" s="10" t="s">
        <v>5</v>
      </c>
      <c r="D1741" s="10" t="s">
        <v>75</v>
      </c>
      <c r="E1741" s="11" t="s">
        <v>78</v>
      </c>
      <c r="F1741" s="12">
        <v>4546.6000000000004</v>
      </c>
      <c r="G1741" s="13" t="s">
        <v>114</v>
      </c>
      <c r="H1741" s="12">
        <f t="shared" si="27"/>
        <v>4546.6000000000004</v>
      </c>
    </row>
    <row r="1742" spans="1:8">
      <c r="A1742" s="14">
        <v>1737</v>
      </c>
      <c r="B1742" s="9">
        <v>45906</v>
      </c>
      <c r="C1742" s="10" t="s">
        <v>5</v>
      </c>
      <c r="D1742" s="10" t="s">
        <v>75</v>
      </c>
      <c r="E1742" s="11" t="s">
        <v>101</v>
      </c>
      <c r="F1742" s="12">
        <v>14200.99</v>
      </c>
      <c r="G1742" s="13" t="s">
        <v>114</v>
      </c>
      <c r="H1742" s="12">
        <f t="shared" si="27"/>
        <v>14200.99</v>
      </c>
    </row>
    <row r="1743" spans="1:8">
      <c r="A1743" s="14">
        <v>1738</v>
      </c>
      <c r="B1743" s="9">
        <v>45907</v>
      </c>
      <c r="C1743" s="10" t="s">
        <v>5</v>
      </c>
      <c r="D1743" s="10" t="s">
        <v>75</v>
      </c>
      <c r="E1743" s="11" t="s">
        <v>111</v>
      </c>
      <c r="F1743" s="12">
        <v>4065.35</v>
      </c>
      <c r="G1743" s="13" t="s">
        <v>114</v>
      </c>
      <c r="H1743" s="12">
        <f t="shared" si="27"/>
        <v>4065.35</v>
      </c>
    </row>
    <row r="1744" spans="1:8">
      <c r="A1744" s="14">
        <v>1739</v>
      </c>
      <c r="B1744" s="9">
        <v>45908</v>
      </c>
      <c r="C1744" s="10" t="s">
        <v>5</v>
      </c>
      <c r="D1744" s="10" t="s">
        <v>75</v>
      </c>
      <c r="E1744" s="11" t="s">
        <v>82</v>
      </c>
      <c r="F1744" s="12">
        <v>5141.7700000000004</v>
      </c>
      <c r="G1744" s="13" t="s">
        <v>114</v>
      </c>
      <c r="H1744" s="12">
        <f t="shared" si="27"/>
        <v>5141.7700000000004</v>
      </c>
    </row>
    <row r="1745" spans="1:8">
      <c r="A1745" s="14">
        <v>1740</v>
      </c>
      <c r="B1745" s="9">
        <v>45908</v>
      </c>
      <c r="C1745" s="10" t="s">
        <v>5</v>
      </c>
      <c r="D1745" s="10" t="s">
        <v>75</v>
      </c>
      <c r="E1745" s="11" t="s">
        <v>97</v>
      </c>
      <c r="F1745" s="12">
        <v>2445.14</v>
      </c>
      <c r="G1745" s="13" t="s">
        <v>114</v>
      </c>
      <c r="H1745" s="12">
        <f t="shared" si="27"/>
        <v>2445.14</v>
      </c>
    </row>
    <row r="1746" spans="1:8">
      <c r="A1746" s="14">
        <v>1741</v>
      </c>
      <c r="B1746" s="9">
        <v>45908</v>
      </c>
      <c r="C1746" s="10" t="s">
        <v>5</v>
      </c>
      <c r="D1746" s="10" t="s">
        <v>18</v>
      </c>
      <c r="E1746" s="11" t="s">
        <v>104</v>
      </c>
      <c r="F1746" s="12">
        <v>3623.94</v>
      </c>
      <c r="G1746" s="13" t="s">
        <v>114</v>
      </c>
      <c r="H1746" s="12">
        <f t="shared" si="27"/>
        <v>3623.94</v>
      </c>
    </row>
    <row r="1747" spans="1:8">
      <c r="A1747" s="14">
        <v>1742</v>
      </c>
      <c r="B1747" s="9">
        <v>45908</v>
      </c>
      <c r="C1747" s="10" t="s">
        <v>5</v>
      </c>
      <c r="D1747" s="10" t="s">
        <v>75</v>
      </c>
      <c r="E1747" s="11" t="s">
        <v>78</v>
      </c>
      <c r="F1747" s="12">
        <v>5801.05</v>
      </c>
      <c r="G1747" s="13" t="s">
        <v>114</v>
      </c>
      <c r="H1747" s="12">
        <f t="shared" si="27"/>
        <v>5801.05</v>
      </c>
    </row>
    <row r="1748" spans="1:8">
      <c r="A1748" s="14">
        <v>1743</v>
      </c>
      <c r="B1748" s="9">
        <v>45909</v>
      </c>
      <c r="C1748" s="10" t="s">
        <v>5</v>
      </c>
      <c r="D1748" s="10" t="s">
        <v>77</v>
      </c>
      <c r="E1748" s="11" t="s">
        <v>92</v>
      </c>
      <c r="F1748" s="12">
        <v>7361.71</v>
      </c>
      <c r="G1748" s="13" t="s">
        <v>114</v>
      </c>
      <c r="H1748" s="12">
        <f t="shared" si="27"/>
        <v>7361.71</v>
      </c>
    </row>
    <row r="1749" spans="1:8">
      <c r="A1749" s="14">
        <v>1744</v>
      </c>
      <c r="B1749" s="9">
        <v>45909</v>
      </c>
      <c r="C1749" s="10" t="s">
        <v>5</v>
      </c>
      <c r="D1749" s="10" t="s">
        <v>75</v>
      </c>
      <c r="E1749" s="11" t="s">
        <v>97</v>
      </c>
      <c r="F1749" s="12">
        <v>1659.31</v>
      </c>
      <c r="G1749" s="13" t="s">
        <v>114</v>
      </c>
      <c r="H1749" s="12">
        <f t="shared" si="27"/>
        <v>1659.31</v>
      </c>
    </row>
    <row r="1750" spans="1:8">
      <c r="A1750" s="14">
        <v>1745</v>
      </c>
      <c r="B1750" s="9">
        <v>45909</v>
      </c>
      <c r="C1750" s="10" t="s">
        <v>5</v>
      </c>
      <c r="D1750" s="10" t="s">
        <v>75</v>
      </c>
      <c r="E1750" s="11" t="s">
        <v>89</v>
      </c>
      <c r="F1750" s="12">
        <v>2333.19</v>
      </c>
      <c r="G1750" s="13" t="s">
        <v>114</v>
      </c>
      <c r="H1750" s="12">
        <f t="shared" si="27"/>
        <v>2333.19</v>
      </c>
    </row>
    <row r="1751" spans="1:8">
      <c r="A1751" s="14">
        <v>1746</v>
      </c>
      <c r="B1751" s="9">
        <v>45910</v>
      </c>
      <c r="C1751" s="10" t="s">
        <v>5</v>
      </c>
      <c r="D1751" s="10" t="s">
        <v>75</v>
      </c>
      <c r="E1751" s="11" t="s">
        <v>85</v>
      </c>
      <c r="F1751" s="12">
        <v>6712.71</v>
      </c>
      <c r="G1751" s="13" t="s">
        <v>114</v>
      </c>
      <c r="H1751" s="12">
        <f t="shared" si="27"/>
        <v>6712.71</v>
      </c>
    </row>
    <row r="1752" spans="1:8">
      <c r="A1752" s="14">
        <v>1747</v>
      </c>
      <c r="B1752" s="9">
        <v>45910</v>
      </c>
      <c r="C1752" s="10" t="s">
        <v>5</v>
      </c>
      <c r="D1752" s="10" t="s">
        <v>77</v>
      </c>
      <c r="E1752" s="11" t="s">
        <v>109</v>
      </c>
      <c r="F1752" s="12">
        <v>5173.9799999999996</v>
      </c>
      <c r="G1752" s="13" t="s">
        <v>114</v>
      </c>
      <c r="H1752" s="12">
        <f t="shared" si="27"/>
        <v>5173.9799999999996</v>
      </c>
    </row>
    <row r="1753" spans="1:8">
      <c r="A1753" s="14">
        <v>1748</v>
      </c>
      <c r="B1753" s="9">
        <v>45910</v>
      </c>
      <c r="C1753" s="10" t="s">
        <v>5</v>
      </c>
      <c r="D1753" s="10" t="s">
        <v>75</v>
      </c>
      <c r="E1753" s="11" t="s">
        <v>101</v>
      </c>
      <c r="F1753" s="12">
        <v>10970.89</v>
      </c>
      <c r="G1753" s="13" t="s">
        <v>114</v>
      </c>
      <c r="H1753" s="12">
        <f t="shared" si="27"/>
        <v>10970.89</v>
      </c>
    </row>
    <row r="1754" spans="1:8">
      <c r="A1754" s="14">
        <v>1749</v>
      </c>
      <c r="B1754" s="9">
        <v>45910</v>
      </c>
      <c r="C1754" s="10" t="s">
        <v>5</v>
      </c>
      <c r="D1754" s="10" t="s">
        <v>75</v>
      </c>
      <c r="E1754" s="11" t="s">
        <v>93</v>
      </c>
      <c r="F1754" s="12">
        <v>1974.5</v>
      </c>
      <c r="G1754" s="13" t="s">
        <v>114</v>
      </c>
      <c r="H1754" s="12">
        <f t="shared" si="27"/>
        <v>1974.5</v>
      </c>
    </row>
    <row r="1755" spans="1:8">
      <c r="A1755" s="14">
        <v>1750</v>
      </c>
      <c r="B1755" s="9">
        <v>45911</v>
      </c>
      <c r="C1755" s="10" t="s">
        <v>5</v>
      </c>
      <c r="D1755" s="10" t="s">
        <v>75</v>
      </c>
      <c r="E1755" s="11" t="s">
        <v>93</v>
      </c>
      <c r="F1755" s="12">
        <v>1859.35</v>
      </c>
      <c r="G1755" s="13" t="s">
        <v>114</v>
      </c>
      <c r="H1755" s="12">
        <f t="shared" si="27"/>
        <v>1859.35</v>
      </c>
    </row>
    <row r="1756" spans="1:8">
      <c r="A1756" s="14">
        <v>1751</v>
      </c>
      <c r="B1756" s="9">
        <v>45911</v>
      </c>
      <c r="C1756" s="10" t="s">
        <v>5</v>
      </c>
      <c r="D1756" s="10" t="s">
        <v>75</v>
      </c>
      <c r="E1756" s="11" t="s">
        <v>78</v>
      </c>
      <c r="F1756" s="12">
        <v>2886.02</v>
      </c>
      <c r="G1756" s="13" t="s">
        <v>114</v>
      </c>
      <c r="H1756" s="12">
        <f t="shared" si="27"/>
        <v>2886.02</v>
      </c>
    </row>
    <row r="1757" spans="1:8">
      <c r="A1757" s="14">
        <v>1752</v>
      </c>
      <c r="B1757" s="9">
        <v>45912</v>
      </c>
      <c r="C1757" s="10" t="s">
        <v>5</v>
      </c>
      <c r="D1757" s="10" t="s">
        <v>75</v>
      </c>
      <c r="E1757" s="11" t="s">
        <v>93</v>
      </c>
      <c r="F1757" s="12">
        <v>6252.69</v>
      </c>
      <c r="G1757" s="13" t="s">
        <v>114</v>
      </c>
      <c r="H1757" s="12">
        <f t="shared" si="27"/>
        <v>6252.69</v>
      </c>
    </row>
    <row r="1758" spans="1:8">
      <c r="A1758" s="14">
        <v>1753</v>
      </c>
      <c r="B1758" s="9">
        <v>45913</v>
      </c>
      <c r="C1758" s="10" t="s">
        <v>5</v>
      </c>
      <c r="D1758" s="10" t="s">
        <v>77</v>
      </c>
      <c r="E1758" s="11" t="s">
        <v>84</v>
      </c>
      <c r="F1758" s="12">
        <v>1594.02</v>
      </c>
      <c r="G1758" s="13" t="s">
        <v>114</v>
      </c>
      <c r="H1758" s="12">
        <f t="shared" si="27"/>
        <v>1594.02</v>
      </c>
    </row>
    <row r="1759" spans="1:8">
      <c r="A1759" s="14">
        <v>1754</v>
      </c>
      <c r="B1759" s="9">
        <v>45915</v>
      </c>
      <c r="C1759" s="10" t="s">
        <v>5</v>
      </c>
      <c r="D1759" s="10" t="s">
        <v>76</v>
      </c>
      <c r="E1759" s="11" t="s">
        <v>91</v>
      </c>
      <c r="F1759" s="12">
        <v>3527.63</v>
      </c>
      <c r="G1759" s="13" t="s">
        <v>114</v>
      </c>
      <c r="H1759" s="12">
        <f t="shared" si="27"/>
        <v>3527.63</v>
      </c>
    </row>
    <row r="1760" spans="1:8">
      <c r="A1760" s="14">
        <v>1755</v>
      </c>
      <c r="B1760" s="9">
        <v>45916</v>
      </c>
      <c r="C1760" s="10" t="s">
        <v>5</v>
      </c>
      <c r="D1760" s="10" t="s">
        <v>75</v>
      </c>
      <c r="E1760" s="11" t="s">
        <v>78</v>
      </c>
      <c r="F1760" s="12">
        <v>5698.72</v>
      </c>
      <c r="G1760" s="13" t="s">
        <v>114</v>
      </c>
      <c r="H1760" s="12">
        <f t="shared" si="27"/>
        <v>5698.72</v>
      </c>
    </row>
    <row r="1761" spans="1:8">
      <c r="A1761" s="14">
        <v>1756</v>
      </c>
      <c r="B1761" s="9">
        <v>45916</v>
      </c>
      <c r="C1761" s="10" t="s">
        <v>5</v>
      </c>
      <c r="D1761" s="10" t="s">
        <v>76</v>
      </c>
      <c r="E1761" s="11" t="s">
        <v>80</v>
      </c>
      <c r="F1761" s="12">
        <v>9343.9699999999993</v>
      </c>
      <c r="G1761" s="13" t="s">
        <v>114</v>
      </c>
      <c r="H1761" s="12">
        <f t="shared" si="27"/>
        <v>9343.9699999999993</v>
      </c>
    </row>
    <row r="1762" spans="1:8">
      <c r="A1762" s="14">
        <v>1757</v>
      </c>
      <c r="B1762" s="9">
        <v>45916</v>
      </c>
      <c r="C1762" s="10" t="s">
        <v>5</v>
      </c>
      <c r="D1762" s="10" t="s">
        <v>75</v>
      </c>
      <c r="E1762" s="11" t="s">
        <v>85</v>
      </c>
      <c r="F1762" s="12">
        <v>2098.96</v>
      </c>
      <c r="G1762" s="13" t="s">
        <v>114</v>
      </c>
      <c r="H1762" s="12">
        <f t="shared" si="27"/>
        <v>2098.96</v>
      </c>
    </row>
    <row r="1763" spans="1:8">
      <c r="A1763" s="14">
        <v>1758</v>
      </c>
      <c r="B1763" s="9">
        <v>45916</v>
      </c>
      <c r="C1763" s="10" t="s">
        <v>5</v>
      </c>
      <c r="D1763" s="10" t="s">
        <v>75</v>
      </c>
      <c r="E1763" s="11" t="s">
        <v>85</v>
      </c>
      <c r="F1763" s="12">
        <v>6797.81</v>
      </c>
      <c r="G1763" s="13" t="s">
        <v>114</v>
      </c>
      <c r="H1763" s="12">
        <f t="shared" si="27"/>
        <v>6797.81</v>
      </c>
    </row>
    <row r="1764" spans="1:8">
      <c r="A1764" s="14">
        <v>1759</v>
      </c>
      <c r="B1764" s="9">
        <v>45916</v>
      </c>
      <c r="C1764" s="10" t="s">
        <v>5</v>
      </c>
      <c r="D1764" s="10" t="s">
        <v>75</v>
      </c>
      <c r="E1764" s="11" t="s">
        <v>101</v>
      </c>
      <c r="F1764" s="12">
        <v>11376.79</v>
      </c>
      <c r="G1764" s="13" t="s">
        <v>114</v>
      </c>
      <c r="H1764" s="12">
        <f t="shared" si="27"/>
        <v>11376.79</v>
      </c>
    </row>
    <row r="1765" spans="1:8">
      <c r="A1765" s="14">
        <v>1760</v>
      </c>
      <c r="B1765" s="9">
        <v>45916</v>
      </c>
      <c r="C1765" s="10" t="s">
        <v>5</v>
      </c>
      <c r="D1765" s="10" t="s">
        <v>75</v>
      </c>
      <c r="E1765" s="11" t="s">
        <v>78</v>
      </c>
      <c r="F1765" s="12">
        <v>4564.6000000000004</v>
      </c>
      <c r="G1765" s="13" t="s">
        <v>114</v>
      </c>
      <c r="H1765" s="12">
        <f t="shared" si="27"/>
        <v>4564.6000000000004</v>
      </c>
    </row>
    <row r="1766" spans="1:8">
      <c r="A1766" s="14">
        <v>1761</v>
      </c>
      <c r="B1766" s="9">
        <v>45916</v>
      </c>
      <c r="C1766" s="10" t="s">
        <v>5</v>
      </c>
      <c r="D1766" s="10" t="s">
        <v>18</v>
      </c>
      <c r="E1766" s="11" t="s">
        <v>90</v>
      </c>
      <c r="F1766" s="12">
        <v>5551.86</v>
      </c>
      <c r="G1766" s="13" t="s">
        <v>114</v>
      </c>
      <c r="H1766" s="12">
        <f t="shared" si="27"/>
        <v>5551.86</v>
      </c>
    </row>
    <row r="1767" spans="1:8">
      <c r="A1767" s="14">
        <v>1762</v>
      </c>
      <c r="B1767" s="9">
        <v>45916</v>
      </c>
      <c r="C1767" s="10" t="s">
        <v>5</v>
      </c>
      <c r="D1767" s="10" t="s">
        <v>77</v>
      </c>
      <c r="E1767" s="11" t="s">
        <v>109</v>
      </c>
      <c r="F1767" s="12">
        <v>8692.41</v>
      </c>
      <c r="G1767" s="13" t="s">
        <v>114</v>
      </c>
      <c r="H1767" s="12">
        <f t="shared" si="27"/>
        <v>8692.41</v>
      </c>
    </row>
    <row r="1768" spans="1:8">
      <c r="A1768" s="14">
        <v>1763</v>
      </c>
      <c r="B1768" s="9">
        <v>45916</v>
      </c>
      <c r="C1768" s="10" t="s">
        <v>5</v>
      </c>
      <c r="D1768" s="10" t="s">
        <v>75</v>
      </c>
      <c r="E1768" s="11" t="s">
        <v>97</v>
      </c>
      <c r="F1768" s="12">
        <v>1003.24</v>
      </c>
      <c r="G1768" s="13" t="s">
        <v>114</v>
      </c>
      <c r="H1768" s="12">
        <f t="shared" si="27"/>
        <v>1003.24</v>
      </c>
    </row>
    <row r="1769" spans="1:8">
      <c r="A1769" s="14">
        <v>1764</v>
      </c>
      <c r="B1769" s="9">
        <v>45916</v>
      </c>
      <c r="C1769" s="10" t="s">
        <v>5</v>
      </c>
      <c r="D1769" s="10" t="s">
        <v>76</v>
      </c>
      <c r="E1769" s="11" t="s">
        <v>95</v>
      </c>
      <c r="F1769" s="12">
        <v>2139.85</v>
      </c>
      <c r="G1769" s="13" t="s">
        <v>114</v>
      </c>
      <c r="H1769" s="12">
        <f t="shared" si="27"/>
        <v>2139.85</v>
      </c>
    </row>
    <row r="1770" spans="1:8">
      <c r="A1770" s="14">
        <v>1765</v>
      </c>
      <c r="B1770" s="9">
        <v>45917</v>
      </c>
      <c r="C1770" s="10" t="s">
        <v>5</v>
      </c>
      <c r="D1770" s="10" t="s">
        <v>75</v>
      </c>
      <c r="E1770" s="11" t="s">
        <v>106</v>
      </c>
      <c r="F1770" s="12">
        <v>1761.9</v>
      </c>
      <c r="G1770" s="13" t="s">
        <v>114</v>
      </c>
      <c r="H1770" s="12">
        <f t="shared" si="27"/>
        <v>1761.9</v>
      </c>
    </row>
    <row r="1771" spans="1:8">
      <c r="A1771" s="14">
        <v>1766</v>
      </c>
      <c r="B1771" s="9">
        <v>45917</v>
      </c>
      <c r="C1771" s="10" t="s">
        <v>5</v>
      </c>
      <c r="D1771" s="10" t="s">
        <v>76</v>
      </c>
      <c r="E1771" s="11" t="s">
        <v>80</v>
      </c>
      <c r="F1771" s="12">
        <v>6464.05</v>
      </c>
      <c r="G1771" s="13" t="s">
        <v>114</v>
      </c>
      <c r="H1771" s="12">
        <f t="shared" si="27"/>
        <v>6464.05</v>
      </c>
    </row>
    <row r="1772" spans="1:8">
      <c r="A1772" s="14">
        <v>1767</v>
      </c>
      <c r="B1772" s="9">
        <v>45917</v>
      </c>
      <c r="C1772" s="10" t="s">
        <v>5</v>
      </c>
      <c r="D1772" s="10" t="s">
        <v>18</v>
      </c>
      <c r="E1772" s="11" t="s">
        <v>79</v>
      </c>
      <c r="F1772" s="12">
        <v>10733.37</v>
      </c>
      <c r="G1772" s="13" t="s">
        <v>114</v>
      </c>
      <c r="H1772" s="12">
        <f t="shared" si="27"/>
        <v>10733.37</v>
      </c>
    </row>
    <row r="1773" spans="1:8">
      <c r="A1773" s="14">
        <v>1768</v>
      </c>
      <c r="B1773" s="9">
        <v>45918</v>
      </c>
      <c r="C1773" s="10" t="s">
        <v>5</v>
      </c>
      <c r="D1773" s="10" t="s">
        <v>75</v>
      </c>
      <c r="E1773" s="11" t="s">
        <v>89</v>
      </c>
      <c r="F1773" s="12">
        <v>8925.58</v>
      </c>
      <c r="G1773" s="13" t="s">
        <v>114</v>
      </c>
      <c r="H1773" s="12">
        <f t="shared" si="27"/>
        <v>8925.58</v>
      </c>
    </row>
    <row r="1774" spans="1:8">
      <c r="A1774" s="14">
        <v>1769</v>
      </c>
      <c r="B1774" s="9">
        <v>45923</v>
      </c>
      <c r="C1774" s="10" t="s">
        <v>5</v>
      </c>
      <c r="D1774" s="10" t="s">
        <v>75</v>
      </c>
      <c r="E1774" s="11" t="s">
        <v>101</v>
      </c>
      <c r="F1774" s="12">
        <v>10609.85</v>
      </c>
      <c r="G1774" s="13" t="s">
        <v>114</v>
      </c>
      <c r="H1774" s="12">
        <f t="shared" si="27"/>
        <v>10609.85</v>
      </c>
    </row>
    <row r="1775" spans="1:8">
      <c r="A1775" s="14">
        <v>1770</v>
      </c>
      <c r="B1775" s="9">
        <v>45923</v>
      </c>
      <c r="C1775" s="10" t="s">
        <v>5</v>
      </c>
      <c r="D1775" s="10" t="s">
        <v>75</v>
      </c>
      <c r="E1775" s="11" t="s">
        <v>82</v>
      </c>
      <c r="F1775" s="12">
        <v>3347.78</v>
      </c>
      <c r="G1775" s="13" t="s">
        <v>114</v>
      </c>
      <c r="H1775" s="12">
        <f t="shared" si="27"/>
        <v>3347.78</v>
      </c>
    </row>
    <row r="1776" spans="1:8">
      <c r="A1776" s="14">
        <v>1771</v>
      </c>
      <c r="B1776" s="9">
        <v>45923</v>
      </c>
      <c r="C1776" s="10" t="s">
        <v>5</v>
      </c>
      <c r="D1776" s="10" t="s">
        <v>76</v>
      </c>
      <c r="E1776" s="11" t="s">
        <v>80</v>
      </c>
      <c r="F1776" s="12">
        <v>5750.82</v>
      </c>
      <c r="G1776" s="13" t="s">
        <v>114</v>
      </c>
      <c r="H1776" s="12">
        <f t="shared" si="27"/>
        <v>5750.82</v>
      </c>
    </row>
    <row r="1777" spans="1:8">
      <c r="A1777" s="14">
        <v>1772</v>
      </c>
      <c r="B1777" s="9">
        <v>45924</v>
      </c>
      <c r="C1777" s="10" t="s">
        <v>5</v>
      </c>
      <c r="D1777" s="10" t="s">
        <v>75</v>
      </c>
      <c r="E1777" s="11" t="s">
        <v>82</v>
      </c>
      <c r="F1777" s="12">
        <v>2847.85</v>
      </c>
      <c r="G1777" s="13" t="s">
        <v>114</v>
      </c>
      <c r="H1777" s="12">
        <f t="shared" si="27"/>
        <v>2847.85</v>
      </c>
    </row>
    <row r="1778" spans="1:8">
      <c r="A1778" s="14">
        <v>1773</v>
      </c>
      <c r="B1778" s="9">
        <v>45924</v>
      </c>
      <c r="C1778" s="10" t="s">
        <v>5</v>
      </c>
      <c r="D1778" s="10" t="s">
        <v>76</v>
      </c>
      <c r="E1778" s="11" t="s">
        <v>102</v>
      </c>
      <c r="F1778" s="12">
        <v>9139.48</v>
      </c>
      <c r="G1778" s="13" t="s">
        <v>114</v>
      </c>
      <c r="H1778" s="12">
        <f t="shared" si="27"/>
        <v>9139.48</v>
      </c>
    </row>
    <row r="1779" spans="1:8">
      <c r="A1779" s="14">
        <v>1774</v>
      </c>
      <c r="B1779" s="9">
        <v>45925</v>
      </c>
      <c r="C1779" s="10" t="s">
        <v>5</v>
      </c>
      <c r="D1779" s="10" t="s">
        <v>18</v>
      </c>
      <c r="E1779" s="11" t="s">
        <v>107</v>
      </c>
      <c r="F1779" s="12">
        <v>10228.69</v>
      </c>
      <c r="G1779" s="13" t="s">
        <v>114</v>
      </c>
      <c r="H1779" s="12">
        <f t="shared" si="27"/>
        <v>10228.69</v>
      </c>
    </row>
    <row r="1780" spans="1:8">
      <c r="A1780" s="14">
        <v>1775</v>
      </c>
      <c r="B1780" s="9">
        <v>45926</v>
      </c>
      <c r="C1780" s="10" t="s">
        <v>5</v>
      </c>
      <c r="D1780" s="10" t="s">
        <v>18</v>
      </c>
      <c r="E1780" s="11" t="s">
        <v>79</v>
      </c>
      <c r="F1780" s="12">
        <v>4859.51</v>
      </c>
      <c r="G1780" s="13" t="s">
        <v>114</v>
      </c>
      <c r="H1780" s="12">
        <f t="shared" si="27"/>
        <v>4859.51</v>
      </c>
    </row>
    <row r="1781" spans="1:8">
      <c r="A1781" s="14">
        <v>1776</v>
      </c>
      <c r="B1781" s="9">
        <v>45926</v>
      </c>
      <c r="C1781" s="10" t="s">
        <v>5</v>
      </c>
      <c r="D1781" s="10" t="s">
        <v>75</v>
      </c>
      <c r="E1781" s="11" t="s">
        <v>78</v>
      </c>
      <c r="F1781" s="12">
        <v>7796.43</v>
      </c>
      <c r="G1781" s="13" t="s">
        <v>114</v>
      </c>
      <c r="H1781" s="12">
        <f t="shared" si="27"/>
        <v>7796.43</v>
      </c>
    </row>
    <row r="1782" spans="1:8">
      <c r="A1782" s="14">
        <v>1777</v>
      </c>
      <c r="B1782" s="9">
        <v>45926</v>
      </c>
      <c r="C1782" s="10" t="s">
        <v>5</v>
      </c>
      <c r="D1782" s="10" t="s">
        <v>76</v>
      </c>
      <c r="E1782" s="11" t="s">
        <v>99</v>
      </c>
      <c r="F1782" s="12">
        <v>1976.96</v>
      </c>
      <c r="G1782" s="13" t="s">
        <v>114</v>
      </c>
      <c r="H1782" s="12">
        <f t="shared" si="27"/>
        <v>1976.96</v>
      </c>
    </row>
    <row r="1783" spans="1:8">
      <c r="A1783" s="14">
        <v>1778</v>
      </c>
      <c r="B1783" s="9">
        <v>45926</v>
      </c>
      <c r="C1783" s="10" t="s">
        <v>5</v>
      </c>
      <c r="D1783" s="10" t="s">
        <v>75</v>
      </c>
      <c r="E1783" s="11" t="s">
        <v>85</v>
      </c>
      <c r="F1783" s="12">
        <v>9500.73</v>
      </c>
      <c r="G1783" s="13" t="s">
        <v>114</v>
      </c>
      <c r="H1783" s="12">
        <f t="shared" si="27"/>
        <v>9500.73</v>
      </c>
    </row>
    <row r="1784" spans="1:8">
      <c r="A1784" s="14">
        <v>1779</v>
      </c>
      <c r="B1784" s="9">
        <v>45926</v>
      </c>
      <c r="C1784" s="10" t="s">
        <v>5</v>
      </c>
      <c r="D1784" s="10" t="s">
        <v>76</v>
      </c>
      <c r="E1784" s="11" t="s">
        <v>87</v>
      </c>
      <c r="F1784" s="12">
        <v>1669.47</v>
      </c>
      <c r="G1784" s="13" t="s">
        <v>114</v>
      </c>
      <c r="H1784" s="12">
        <f t="shared" si="27"/>
        <v>1669.47</v>
      </c>
    </row>
    <row r="1785" spans="1:8">
      <c r="A1785" s="14">
        <v>1780</v>
      </c>
      <c r="B1785" s="9">
        <v>45928</v>
      </c>
      <c r="C1785" s="10" t="s">
        <v>5</v>
      </c>
      <c r="D1785" s="10" t="s">
        <v>75</v>
      </c>
      <c r="E1785" s="11" t="s">
        <v>89</v>
      </c>
      <c r="F1785" s="12">
        <v>3677.23</v>
      </c>
      <c r="G1785" s="13" t="s">
        <v>114</v>
      </c>
      <c r="H1785" s="12">
        <f t="shared" si="27"/>
        <v>3677.23</v>
      </c>
    </row>
    <row r="1786" spans="1:8">
      <c r="A1786" s="14">
        <v>1781</v>
      </c>
      <c r="B1786" s="9">
        <v>45929</v>
      </c>
      <c r="C1786" s="10" t="s">
        <v>5</v>
      </c>
      <c r="D1786" s="10" t="s">
        <v>75</v>
      </c>
      <c r="E1786" s="11" t="s">
        <v>85</v>
      </c>
      <c r="F1786" s="12">
        <v>5175</v>
      </c>
      <c r="G1786" s="13" t="s">
        <v>114</v>
      </c>
      <c r="H1786" s="12">
        <f t="shared" si="27"/>
        <v>5175</v>
      </c>
    </row>
    <row r="1787" spans="1:8">
      <c r="A1787" s="14">
        <v>1782</v>
      </c>
      <c r="B1787" s="9">
        <v>45929</v>
      </c>
      <c r="C1787" s="10" t="s">
        <v>5</v>
      </c>
      <c r="D1787" s="10" t="s">
        <v>75</v>
      </c>
      <c r="E1787" s="11" t="s">
        <v>106</v>
      </c>
      <c r="F1787" s="12">
        <v>2459.94</v>
      </c>
      <c r="G1787" s="13" t="s">
        <v>114</v>
      </c>
      <c r="H1787" s="12">
        <f t="shared" si="27"/>
        <v>2459.94</v>
      </c>
    </row>
    <row r="1788" spans="1:8">
      <c r="A1788" s="14">
        <v>1783</v>
      </c>
      <c r="B1788" s="9">
        <v>45930</v>
      </c>
      <c r="C1788" s="10" t="s">
        <v>5</v>
      </c>
      <c r="D1788" s="10" t="s">
        <v>75</v>
      </c>
      <c r="E1788" s="11" t="s">
        <v>93</v>
      </c>
      <c r="F1788" s="12">
        <v>3687.76</v>
      </c>
      <c r="G1788" s="13" t="s">
        <v>114</v>
      </c>
      <c r="H1788" s="12">
        <f t="shared" si="27"/>
        <v>3687.76</v>
      </c>
    </row>
    <row r="1789" spans="1:8">
      <c r="A1789" s="14">
        <v>1784</v>
      </c>
      <c r="B1789" s="9">
        <v>45930</v>
      </c>
      <c r="C1789" s="10" t="s">
        <v>5</v>
      </c>
      <c r="D1789" s="10" t="s">
        <v>76</v>
      </c>
      <c r="E1789" s="11" t="s">
        <v>87</v>
      </c>
      <c r="F1789" s="12">
        <v>936.28</v>
      </c>
      <c r="G1789" s="13" t="s">
        <v>114</v>
      </c>
      <c r="H1789" s="12">
        <f t="shared" si="27"/>
        <v>936.28</v>
      </c>
    </row>
    <row r="1790" spans="1:8">
      <c r="A1790" s="14">
        <v>1785</v>
      </c>
      <c r="B1790" s="9">
        <v>45931</v>
      </c>
      <c r="C1790" s="10" t="s">
        <v>5</v>
      </c>
      <c r="D1790" s="10" t="s">
        <v>76</v>
      </c>
      <c r="E1790" s="11" t="s">
        <v>80</v>
      </c>
      <c r="F1790" s="12">
        <v>5624.11</v>
      </c>
      <c r="G1790" s="13" t="s">
        <v>114</v>
      </c>
      <c r="H1790" s="12">
        <f t="shared" si="27"/>
        <v>5624.11</v>
      </c>
    </row>
    <row r="1791" spans="1:8">
      <c r="A1791" s="14">
        <v>1786</v>
      </c>
      <c r="B1791" s="9">
        <v>45931</v>
      </c>
      <c r="C1791" s="10" t="s">
        <v>5</v>
      </c>
      <c r="D1791" s="10" t="s">
        <v>18</v>
      </c>
      <c r="E1791" s="11" t="s">
        <v>107</v>
      </c>
      <c r="F1791" s="12">
        <v>7540.79</v>
      </c>
      <c r="G1791" s="13" t="s">
        <v>114</v>
      </c>
      <c r="H1791" s="12">
        <f t="shared" si="27"/>
        <v>7540.79</v>
      </c>
    </row>
    <row r="1792" spans="1:8">
      <c r="A1792" s="14">
        <v>1787</v>
      </c>
      <c r="B1792" s="9">
        <v>45931</v>
      </c>
      <c r="C1792" s="10" t="s">
        <v>5</v>
      </c>
      <c r="D1792" s="10" t="s">
        <v>76</v>
      </c>
      <c r="E1792" s="11" t="s">
        <v>95</v>
      </c>
      <c r="F1792" s="12">
        <v>1891.79</v>
      </c>
      <c r="G1792" s="13" t="s">
        <v>114</v>
      </c>
      <c r="H1792" s="12">
        <f t="shared" si="27"/>
        <v>1891.79</v>
      </c>
    </row>
    <row r="1793" spans="1:8">
      <c r="A1793" s="14">
        <v>1788</v>
      </c>
      <c r="B1793" s="9">
        <v>45931</v>
      </c>
      <c r="C1793" s="10" t="s">
        <v>5</v>
      </c>
      <c r="D1793" s="10" t="s">
        <v>76</v>
      </c>
      <c r="E1793" s="11" t="s">
        <v>99</v>
      </c>
      <c r="F1793" s="12">
        <v>3074.05</v>
      </c>
      <c r="G1793" s="13" t="s">
        <v>114</v>
      </c>
      <c r="H1793" s="12">
        <f t="shared" si="27"/>
        <v>3074.05</v>
      </c>
    </row>
    <row r="1794" spans="1:8">
      <c r="A1794" s="14">
        <v>1789</v>
      </c>
      <c r="B1794" s="9">
        <v>45931</v>
      </c>
      <c r="C1794" s="10" t="s">
        <v>5</v>
      </c>
      <c r="D1794" s="10" t="s">
        <v>76</v>
      </c>
      <c r="E1794" s="11" t="s">
        <v>102</v>
      </c>
      <c r="F1794" s="12">
        <v>7892.37</v>
      </c>
      <c r="G1794" s="13" t="s">
        <v>114</v>
      </c>
      <c r="H1794" s="12">
        <f t="shared" si="27"/>
        <v>7892.37</v>
      </c>
    </row>
    <row r="1795" spans="1:8">
      <c r="A1795" s="14">
        <v>1790</v>
      </c>
      <c r="B1795" s="9">
        <v>45931</v>
      </c>
      <c r="C1795" s="10" t="s">
        <v>5</v>
      </c>
      <c r="D1795" s="10" t="s">
        <v>75</v>
      </c>
      <c r="E1795" s="11" t="s">
        <v>101</v>
      </c>
      <c r="F1795" s="12">
        <v>5429.2</v>
      </c>
      <c r="G1795" s="13" t="s">
        <v>114</v>
      </c>
      <c r="H1795" s="12">
        <f t="shared" si="27"/>
        <v>5429.2</v>
      </c>
    </row>
    <row r="1796" spans="1:8">
      <c r="A1796" s="14">
        <v>1791</v>
      </c>
      <c r="B1796" s="9">
        <v>45932</v>
      </c>
      <c r="C1796" s="10" t="s">
        <v>5</v>
      </c>
      <c r="D1796" s="10" t="s">
        <v>75</v>
      </c>
      <c r="E1796" s="11" t="s">
        <v>89</v>
      </c>
      <c r="F1796" s="12">
        <v>1989.43</v>
      </c>
      <c r="G1796" s="13" t="s">
        <v>114</v>
      </c>
      <c r="H1796" s="12">
        <f t="shared" si="27"/>
        <v>1989.43</v>
      </c>
    </row>
    <row r="1797" spans="1:8">
      <c r="A1797" s="14">
        <v>1792</v>
      </c>
      <c r="B1797" s="9">
        <v>45932</v>
      </c>
      <c r="C1797" s="10" t="s">
        <v>5</v>
      </c>
      <c r="D1797" s="10" t="s">
        <v>76</v>
      </c>
      <c r="E1797" s="11" t="s">
        <v>99</v>
      </c>
      <c r="F1797" s="12">
        <v>5887.2</v>
      </c>
      <c r="G1797" s="13" t="s">
        <v>114</v>
      </c>
      <c r="H1797" s="12">
        <f t="shared" ref="H1797:H1860" si="28">IF(C1797="Despesa", F1797*-1, F1797)</f>
        <v>5887.2</v>
      </c>
    </row>
    <row r="1798" spans="1:8">
      <c r="A1798" s="14">
        <v>1793</v>
      </c>
      <c r="B1798" s="9">
        <v>45932</v>
      </c>
      <c r="C1798" s="10" t="s">
        <v>5</v>
      </c>
      <c r="D1798" s="10" t="s">
        <v>76</v>
      </c>
      <c r="E1798" s="11" t="s">
        <v>87</v>
      </c>
      <c r="F1798" s="12">
        <v>535.89</v>
      </c>
      <c r="G1798" s="13" t="s">
        <v>114</v>
      </c>
      <c r="H1798" s="12">
        <f t="shared" si="28"/>
        <v>535.89</v>
      </c>
    </row>
    <row r="1799" spans="1:8">
      <c r="A1799" s="14">
        <v>1794</v>
      </c>
      <c r="B1799" s="9">
        <v>45932</v>
      </c>
      <c r="C1799" s="10" t="s">
        <v>5</v>
      </c>
      <c r="D1799" s="10" t="s">
        <v>75</v>
      </c>
      <c r="E1799" s="11" t="s">
        <v>93</v>
      </c>
      <c r="F1799" s="12">
        <v>1851.4</v>
      </c>
      <c r="G1799" s="13" t="s">
        <v>114</v>
      </c>
      <c r="H1799" s="12">
        <f t="shared" si="28"/>
        <v>1851.4</v>
      </c>
    </row>
    <row r="1800" spans="1:8">
      <c r="A1800" s="14">
        <v>1795</v>
      </c>
      <c r="B1800" s="9">
        <v>45933</v>
      </c>
      <c r="C1800" s="10" t="s">
        <v>5</v>
      </c>
      <c r="D1800" s="10" t="s">
        <v>75</v>
      </c>
      <c r="E1800" s="11" t="s">
        <v>85</v>
      </c>
      <c r="F1800" s="12">
        <v>4560.5200000000004</v>
      </c>
      <c r="G1800" s="13" t="s">
        <v>114</v>
      </c>
      <c r="H1800" s="12">
        <f t="shared" si="28"/>
        <v>4560.5200000000004</v>
      </c>
    </row>
    <row r="1801" spans="1:8">
      <c r="A1801" s="14">
        <v>1796</v>
      </c>
      <c r="B1801" s="9">
        <v>45935</v>
      </c>
      <c r="C1801" s="10" t="s">
        <v>5</v>
      </c>
      <c r="D1801" s="10" t="s">
        <v>75</v>
      </c>
      <c r="E1801" s="11" t="s">
        <v>101</v>
      </c>
      <c r="F1801" s="12">
        <v>12188.9</v>
      </c>
      <c r="G1801" s="13" t="s">
        <v>114</v>
      </c>
      <c r="H1801" s="12">
        <f t="shared" si="28"/>
        <v>12188.9</v>
      </c>
    </row>
    <row r="1802" spans="1:8">
      <c r="A1802" s="14">
        <v>1797</v>
      </c>
      <c r="B1802" s="9">
        <v>45935</v>
      </c>
      <c r="C1802" s="10" t="s">
        <v>5</v>
      </c>
      <c r="D1802" s="10" t="s">
        <v>76</v>
      </c>
      <c r="E1802" s="11" t="s">
        <v>87</v>
      </c>
      <c r="F1802" s="12">
        <v>953.41</v>
      </c>
      <c r="G1802" s="13" t="s">
        <v>114</v>
      </c>
      <c r="H1802" s="12">
        <f t="shared" si="28"/>
        <v>953.41</v>
      </c>
    </row>
    <row r="1803" spans="1:8">
      <c r="A1803" s="14">
        <v>1798</v>
      </c>
      <c r="B1803" s="9">
        <v>45936</v>
      </c>
      <c r="C1803" s="10" t="s">
        <v>5</v>
      </c>
      <c r="D1803" s="10" t="s">
        <v>76</v>
      </c>
      <c r="E1803" s="11" t="s">
        <v>87</v>
      </c>
      <c r="F1803" s="12">
        <v>1788.82</v>
      </c>
      <c r="G1803" s="13" t="s">
        <v>114</v>
      </c>
      <c r="H1803" s="12">
        <f t="shared" si="28"/>
        <v>1788.82</v>
      </c>
    </row>
    <row r="1804" spans="1:8">
      <c r="A1804" s="14">
        <v>1799</v>
      </c>
      <c r="B1804" s="9">
        <v>45936</v>
      </c>
      <c r="C1804" s="10" t="s">
        <v>5</v>
      </c>
      <c r="D1804" s="10" t="s">
        <v>18</v>
      </c>
      <c r="E1804" s="11" t="s">
        <v>98</v>
      </c>
      <c r="F1804" s="12">
        <v>22358.69</v>
      </c>
      <c r="G1804" s="13" t="s">
        <v>114</v>
      </c>
      <c r="H1804" s="12">
        <f t="shared" si="28"/>
        <v>22358.69</v>
      </c>
    </row>
    <row r="1805" spans="1:8">
      <c r="A1805" s="14">
        <v>1800</v>
      </c>
      <c r="B1805" s="9">
        <v>45936</v>
      </c>
      <c r="C1805" s="10" t="s">
        <v>5</v>
      </c>
      <c r="D1805" s="10" t="s">
        <v>18</v>
      </c>
      <c r="E1805" s="11" t="s">
        <v>90</v>
      </c>
      <c r="F1805" s="12">
        <v>4542.22</v>
      </c>
      <c r="G1805" s="13" t="s">
        <v>114</v>
      </c>
      <c r="H1805" s="12">
        <f t="shared" si="28"/>
        <v>4542.22</v>
      </c>
    </row>
    <row r="1806" spans="1:8">
      <c r="A1806" s="14">
        <v>1801</v>
      </c>
      <c r="B1806" s="9">
        <v>45936</v>
      </c>
      <c r="C1806" s="10" t="s">
        <v>5</v>
      </c>
      <c r="D1806" s="10" t="s">
        <v>75</v>
      </c>
      <c r="E1806" s="11" t="s">
        <v>106</v>
      </c>
      <c r="F1806" s="12">
        <v>2413.62</v>
      </c>
      <c r="G1806" s="13" t="s">
        <v>114</v>
      </c>
      <c r="H1806" s="12">
        <f t="shared" si="28"/>
        <v>2413.62</v>
      </c>
    </row>
    <row r="1807" spans="1:8">
      <c r="A1807" s="14">
        <v>1802</v>
      </c>
      <c r="B1807" s="9">
        <v>45936</v>
      </c>
      <c r="C1807" s="10" t="s">
        <v>5</v>
      </c>
      <c r="D1807" s="10" t="s">
        <v>75</v>
      </c>
      <c r="E1807" s="11" t="s">
        <v>111</v>
      </c>
      <c r="F1807" s="12">
        <v>3883.04</v>
      </c>
      <c r="G1807" s="13" t="s">
        <v>114</v>
      </c>
      <c r="H1807" s="12">
        <f t="shared" si="28"/>
        <v>3883.04</v>
      </c>
    </row>
    <row r="1808" spans="1:8">
      <c r="A1808" s="14">
        <v>1803</v>
      </c>
      <c r="B1808" s="9">
        <v>45936</v>
      </c>
      <c r="C1808" s="10" t="s">
        <v>5</v>
      </c>
      <c r="D1808" s="10" t="s">
        <v>75</v>
      </c>
      <c r="E1808" s="11" t="s">
        <v>93</v>
      </c>
      <c r="F1808" s="12">
        <v>5878.81</v>
      </c>
      <c r="G1808" s="13" t="s">
        <v>114</v>
      </c>
      <c r="H1808" s="12">
        <f t="shared" si="28"/>
        <v>5878.81</v>
      </c>
    </row>
    <row r="1809" spans="1:8">
      <c r="A1809" s="14">
        <v>1804</v>
      </c>
      <c r="B1809" s="9">
        <v>45937</v>
      </c>
      <c r="C1809" s="10" t="s">
        <v>5</v>
      </c>
      <c r="D1809" s="10" t="s">
        <v>76</v>
      </c>
      <c r="E1809" s="11" t="s">
        <v>99</v>
      </c>
      <c r="F1809" s="12">
        <v>1576.97</v>
      </c>
      <c r="G1809" s="13" t="s">
        <v>114</v>
      </c>
      <c r="H1809" s="12">
        <f t="shared" si="28"/>
        <v>1576.97</v>
      </c>
    </row>
    <row r="1810" spans="1:8">
      <c r="A1810" s="14">
        <v>1805</v>
      </c>
      <c r="B1810" s="9">
        <v>45937</v>
      </c>
      <c r="C1810" s="10" t="s">
        <v>5</v>
      </c>
      <c r="D1810" s="10" t="s">
        <v>75</v>
      </c>
      <c r="E1810" s="11" t="s">
        <v>78</v>
      </c>
      <c r="F1810" s="12">
        <v>4102.53</v>
      </c>
      <c r="G1810" s="13" t="s">
        <v>114</v>
      </c>
      <c r="H1810" s="12">
        <f t="shared" si="28"/>
        <v>4102.53</v>
      </c>
    </row>
    <row r="1811" spans="1:8">
      <c r="A1811" s="14">
        <v>1806</v>
      </c>
      <c r="B1811" s="9">
        <v>45937</v>
      </c>
      <c r="C1811" s="10" t="s">
        <v>5</v>
      </c>
      <c r="D1811" s="10" t="s">
        <v>75</v>
      </c>
      <c r="E1811" s="11" t="s">
        <v>97</v>
      </c>
      <c r="F1811" s="12">
        <v>885.53</v>
      </c>
      <c r="G1811" s="13" t="s">
        <v>114</v>
      </c>
      <c r="H1811" s="12">
        <f t="shared" si="28"/>
        <v>885.53</v>
      </c>
    </row>
    <row r="1812" spans="1:8">
      <c r="A1812" s="14">
        <v>1807</v>
      </c>
      <c r="B1812" s="9">
        <v>45938</v>
      </c>
      <c r="C1812" s="10" t="s">
        <v>5</v>
      </c>
      <c r="D1812" s="10" t="s">
        <v>76</v>
      </c>
      <c r="E1812" s="11" t="s">
        <v>99</v>
      </c>
      <c r="F1812" s="12">
        <v>4659.75</v>
      </c>
      <c r="G1812" s="13" t="s">
        <v>114</v>
      </c>
      <c r="H1812" s="12">
        <f t="shared" si="28"/>
        <v>4659.75</v>
      </c>
    </row>
    <row r="1813" spans="1:8">
      <c r="A1813" s="14">
        <v>1808</v>
      </c>
      <c r="B1813" s="9">
        <v>45938</v>
      </c>
      <c r="C1813" s="10" t="s">
        <v>5</v>
      </c>
      <c r="D1813" s="10" t="s">
        <v>75</v>
      </c>
      <c r="E1813" s="11" t="s">
        <v>78</v>
      </c>
      <c r="F1813" s="12">
        <v>5619.6</v>
      </c>
      <c r="G1813" s="13" t="s">
        <v>114</v>
      </c>
      <c r="H1813" s="12">
        <f t="shared" si="28"/>
        <v>5619.6</v>
      </c>
    </row>
    <row r="1814" spans="1:8">
      <c r="A1814" s="14">
        <v>1809</v>
      </c>
      <c r="B1814" s="9">
        <v>45939</v>
      </c>
      <c r="C1814" s="10" t="s">
        <v>5</v>
      </c>
      <c r="D1814" s="10" t="s">
        <v>76</v>
      </c>
      <c r="E1814" s="11" t="s">
        <v>91</v>
      </c>
      <c r="F1814" s="12">
        <v>12737.36</v>
      </c>
      <c r="G1814" s="13" t="s">
        <v>114</v>
      </c>
      <c r="H1814" s="12">
        <f t="shared" si="28"/>
        <v>12737.36</v>
      </c>
    </row>
    <row r="1815" spans="1:8">
      <c r="A1815" s="14">
        <v>1810</v>
      </c>
      <c r="B1815" s="9">
        <v>45939</v>
      </c>
      <c r="C1815" s="10" t="s">
        <v>5</v>
      </c>
      <c r="D1815" s="10" t="s">
        <v>75</v>
      </c>
      <c r="E1815" s="11" t="s">
        <v>111</v>
      </c>
      <c r="F1815" s="12">
        <v>1623.94</v>
      </c>
      <c r="G1815" s="13" t="s">
        <v>114</v>
      </c>
      <c r="H1815" s="12">
        <f t="shared" si="28"/>
        <v>1623.94</v>
      </c>
    </row>
    <row r="1816" spans="1:8">
      <c r="A1816" s="14">
        <v>1811</v>
      </c>
      <c r="B1816" s="9">
        <v>45940</v>
      </c>
      <c r="C1816" s="10" t="s">
        <v>5</v>
      </c>
      <c r="D1816" s="10" t="s">
        <v>75</v>
      </c>
      <c r="E1816" s="11" t="s">
        <v>111</v>
      </c>
      <c r="F1816" s="12">
        <v>4757.47</v>
      </c>
      <c r="G1816" s="13" t="s">
        <v>114</v>
      </c>
      <c r="H1816" s="12">
        <f t="shared" si="28"/>
        <v>4757.47</v>
      </c>
    </row>
    <row r="1817" spans="1:8">
      <c r="A1817" s="14">
        <v>1812</v>
      </c>
      <c r="B1817" s="9">
        <v>45940</v>
      </c>
      <c r="C1817" s="10" t="s">
        <v>5</v>
      </c>
      <c r="D1817" s="10" t="s">
        <v>76</v>
      </c>
      <c r="E1817" s="11" t="s">
        <v>80</v>
      </c>
      <c r="F1817" s="12">
        <v>3641.77</v>
      </c>
      <c r="G1817" s="13" t="s">
        <v>114</v>
      </c>
      <c r="H1817" s="12">
        <f t="shared" si="28"/>
        <v>3641.77</v>
      </c>
    </row>
    <row r="1818" spans="1:8">
      <c r="A1818" s="14">
        <v>1813</v>
      </c>
      <c r="B1818" s="9">
        <v>45940</v>
      </c>
      <c r="C1818" s="10" t="s">
        <v>5</v>
      </c>
      <c r="D1818" s="10" t="s">
        <v>75</v>
      </c>
      <c r="E1818" s="11" t="s">
        <v>89</v>
      </c>
      <c r="F1818" s="12">
        <v>6969.12</v>
      </c>
      <c r="G1818" s="13" t="s">
        <v>114</v>
      </c>
      <c r="H1818" s="12">
        <f t="shared" si="28"/>
        <v>6969.12</v>
      </c>
    </row>
    <row r="1819" spans="1:8">
      <c r="A1819" s="14">
        <v>1814</v>
      </c>
      <c r="B1819" s="9">
        <v>45940</v>
      </c>
      <c r="C1819" s="10" t="s">
        <v>5</v>
      </c>
      <c r="D1819" s="10" t="s">
        <v>75</v>
      </c>
      <c r="E1819" s="11" t="s">
        <v>78</v>
      </c>
      <c r="F1819" s="12">
        <v>7943.05</v>
      </c>
      <c r="G1819" s="13" t="s">
        <v>114</v>
      </c>
      <c r="H1819" s="12">
        <f t="shared" si="28"/>
        <v>7943.05</v>
      </c>
    </row>
    <row r="1820" spans="1:8">
      <c r="A1820" s="14">
        <v>1815</v>
      </c>
      <c r="B1820" s="9">
        <v>45940</v>
      </c>
      <c r="C1820" s="10" t="s">
        <v>5</v>
      </c>
      <c r="D1820" s="10" t="s">
        <v>76</v>
      </c>
      <c r="E1820" s="11" t="s">
        <v>91</v>
      </c>
      <c r="F1820" s="12">
        <v>6047.37</v>
      </c>
      <c r="G1820" s="13" t="s">
        <v>114</v>
      </c>
      <c r="H1820" s="12">
        <f t="shared" si="28"/>
        <v>6047.37</v>
      </c>
    </row>
    <row r="1821" spans="1:8">
      <c r="A1821" s="14">
        <v>1816</v>
      </c>
      <c r="B1821" s="9">
        <v>45943</v>
      </c>
      <c r="C1821" s="10" t="s">
        <v>5</v>
      </c>
      <c r="D1821" s="10" t="s">
        <v>18</v>
      </c>
      <c r="E1821" s="11" t="s">
        <v>86</v>
      </c>
      <c r="F1821" s="12">
        <v>9228.77</v>
      </c>
      <c r="G1821" s="13" t="s">
        <v>114</v>
      </c>
      <c r="H1821" s="12">
        <f t="shared" si="28"/>
        <v>9228.77</v>
      </c>
    </row>
    <row r="1822" spans="1:8">
      <c r="A1822" s="14">
        <v>1817</v>
      </c>
      <c r="B1822" s="9">
        <v>45943</v>
      </c>
      <c r="C1822" s="10" t="s">
        <v>5</v>
      </c>
      <c r="D1822" s="10" t="s">
        <v>76</v>
      </c>
      <c r="E1822" s="11" t="s">
        <v>80</v>
      </c>
      <c r="F1822" s="12">
        <v>6683.15</v>
      </c>
      <c r="G1822" s="13" t="s">
        <v>114</v>
      </c>
      <c r="H1822" s="12">
        <f t="shared" si="28"/>
        <v>6683.15</v>
      </c>
    </row>
    <row r="1823" spans="1:8">
      <c r="A1823" s="14">
        <v>1818</v>
      </c>
      <c r="B1823" s="9">
        <v>45943</v>
      </c>
      <c r="C1823" s="10" t="s">
        <v>5</v>
      </c>
      <c r="D1823" s="10" t="s">
        <v>75</v>
      </c>
      <c r="E1823" s="11" t="s">
        <v>97</v>
      </c>
      <c r="F1823" s="12">
        <v>2217.38</v>
      </c>
      <c r="G1823" s="13" t="s">
        <v>114</v>
      </c>
      <c r="H1823" s="12">
        <f t="shared" si="28"/>
        <v>2217.38</v>
      </c>
    </row>
    <row r="1824" spans="1:8">
      <c r="A1824" s="14">
        <v>1819</v>
      </c>
      <c r="B1824" s="9">
        <v>45943</v>
      </c>
      <c r="C1824" s="10" t="s">
        <v>5</v>
      </c>
      <c r="D1824" s="10" t="s">
        <v>77</v>
      </c>
      <c r="E1824" s="11" t="s">
        <v>109</v>
      </c>
      <c r="F1824" s="12">
        <v>8586.61</v>
      </c>
      <c r="G1824" s="13" t="s">
        <v>114</v>
      </c>
      <c r="H1824" s="12">
        <f t="shared" si="28"/>
        <v>8586.61</v>
      </c>
    </row>
    <row r="1825" spans="1:8">
      <c r="A1825" s="14">
        <v>1820</v>
      </c>
      <c r="B1825" s="9">
        <v>45944</v>
      </c>
      <c r="C1825" s="10" t="s">
        <v>5</v>
      </c>
      <c r="D1825" s="10" t="s">
        <v>75</v>
      </c>
      <c r="E1825" s="11" t="s">
        <v>101</v>
      </c>
      <c r="F1825" s="12">
        <v>6630.21</v>
      </c>
      <c r="G1825" s="13" t="s">
        <v>114</v>
      </c>
      <c r="H1825" s="12">
        <f t="shared" si="28"/>
        <v>6630.21</v>
      </c>
    </row>
    <row r="1826" spans="1:8">
      <c r="A1826" s="14">
        <v>1821</v>
      </c>
      <c r="B1826" s="9">
        <v>45944</v>
      </c>
      <c r="C1826" s="10" t="s">
        <v>5</v>
      </c>
      <c r="D1826" s="10" t="s">
        <v>75</v>
      </c>
      <c r="E1826" s="11" t="s">
        <v>82</v>
      </c>
      <c r="F1826" s="12">
        <v>2914.08</v>
      </c>
      <c r="G1826" s="13" t="s">
        <v>114</v>
      </c>
      <c r="H1826" s="12">
        <f t="shared" si="28"/>
        <v>2914.08</v>
      </c>
    </row>
    <row r="1827" spans="1:8">
      <c r="A1827" s="14">
        <v>1822</v>
      </c>
      <c r="B1827" s="9">
        <v>45945</v>
      </c>
      <c r="C1827" s="10" t="s">
        <v>5</v>
      </c>
      <c r="D1827" s="10" t="s">
        <v>75</v>
      </c>
      <c r="E1827" s="11" t="s">
        <v>85</v>
      </c>
      <c r="F1827" s="12">
        <v>7015.96</v>
      </c>
      <c r="G1827" s="13" t="s">
        <v>114</v>
      </c>
      <c r="H1827" s="12">
        <f t="shared" si="28"/>
        <v>7015.96</v>
      </c>
    </row>
    <row r="1828" spans="1:8">
      <c r="A1828" s="14">
        <v>1823</v>
      </c>
      <c r="B1828" s="9">
        <v>45945</v>
      </c>
      <c r="C1828" s="10" t="s">
        <v>5</v>
      </c>
      <c r="D1828" s="10" t="s">
        <v>76</v>
      </c>
      <c r="E1828" s="11" t="s">
        <v>99</v>
      </c>
      <c r="F1828" s="12">
        <v>7842.6</v>
      </c>
      <c r="G1828" s="13" t="s">
        <v>114</v>
      </c>
      <c r="H1828" s="12">
        <f t="shared" si="28"/>
        <v>7842.6</v>
      </c>
    </row>
    <row r="1829" spans="1:8">
      <c r="A1829" s="14">
        <v>1824</v>
      </c>
      <c r="B1829" s="9">
        <v>45945</v>
      </c>
      <c r="C1829" s="10" t="s">
        <v>5</v>
      </c>
      <c r="D1829" s="10" t="s">
        <v>76</v>
      </c>
      <c r="E1829" s="11" t="s">
        <v>87</v>
      </c>
      <c r="F1829" s="12">
        <v>208.73</v>
      </c>
      <c r="G1829" s="13" t="s">
        <v>114</v>
      </c>
      <c r="H1829" s="12">
        <f t="shared" si="28"/>
        <v>208.73</v>
      </c>
    </row>
    <row r="1830" spans="1:8">
      <c r="A1830" s="14">
        <v>1825</v>
      </c>
      <c r="B1830" s="9">
        <v>45947</v>
      </c>
      <c r="C1830" s="10" t="s">
        <v>5</v>
      </c>
      <c r="D1830" s="10" t="s">
        <v>75</v>
      </c>
      <c r="E1830" s="11" t="s">
        <v>101</v>
      </c>
      <c r="F1830" s="12">
        <v>10239.74</v>
      </c>
      <c r="G1830" s="13" t="s">
        <v>114</v>
      </c>
      <c r="H1830" s="12">
        <f t="shared" si="28"/>
        <v>10239.74</v>
      </c>
    </row>
    <row r="1831" spans="1:8">
      <c r="A1831" s="14">
        <v>1826</v>
      </c>
      <c r="B1831" s="9">
        <v>45947</v>
      </c>
      <c r="C1831" s="10" t="s">
        <v>5</v>
      </c>
      <c r="D1831" s="10" t="s">
        <v>75</v>
      </c>
      <c r="E1831" s="11" t="s">
        <v>111</v>
      </c>
      <c r="F1831" s="12">
        <v>3217.6</v>
      </c>
      <c r="G1831" s="13" t="s">
        <v>114</v>
      </c>
      <c r="H1831" s="12">
        <f t="shared" si="28"/>
        <v>3217.6</v>
      </c>
    </row>
    <row r="1832" spans="1:8">
      <c r="A1832" s="14">
        <v>1827</v>
      </c>
      <c r="B1832" s="9">
        <v>45947</v>
      </c>
      <c r="C1832" s="10" t="s">
        <v>5</v>
      </c>
      <c r="D1832" s="10" t="s">
        <v>75</v>
      </c>
      <c r="E1832" s="11" t="s">
        <v>106</v>
      </c>
      <c r="F1832" s="12">
        <v>4775.6099999999997</v>
      </c>
      <c r="G1832" s="13" t="s">
        <v>114</v>
      </c>
      <c r="H1832" s="12">
        <f t="shared" si="28"/>
        <v>4775.6099999999997</v>
      </c>
    </row>
    <row r="1833" spans="1:8">
      <c r="A1833" s="14">
        <v>1828</v>
      </c>
      <c r="B1833" s="9">
        <v>45947</v>
      </c>
      <c r="C1833" s="10" t="s">
        <v>5</v>
      </c>
      <c r="D1833" s="10" t="s">
        <v>76</v>
      </c>
      <c r="E1833" s="11" t="s">
        <v>87</v>
      </c>
      <c r="F1833" s="12">
        <v>1633.13</v>
      </c>
      <c r="G1833" s="13" t="s">
        <v>114</v>
      </c>
      <c r="H1833" s="12">
        <f t="shared" si="28"/>
        <v>1633.13</v>
      </c>
    </row>
    <row r="1834" spans="1:8">
      <c r="A1834" s="14">
        <v>1829</v>
      </c>
      <c r="B1834" s="9">
        <v>45949</v>
      </c>
      <c r="C1834" s="10" t="s">
        <v>5</v>
      </c>
      <c r="D1834" s="10" t="s">
        <v>75</v>
      </c>
      <c r="E1834" s="11" t="s">
        <v>78</v>
      </c>
      <c r="F1834" s="12">
        <v>4080.55</v>
      </c>
      <c r="G1834" s="13" t="s">
        <v>114</v>
      </c>
      <c r="H1834" s="12">
        <f t="shared" si="28"/>
        <v>4080.55</v>
      </c>
    </row>
    <row r="1835" spans="1:8">
      <c r="A1835" s="14">
        <v>1830</v>
      </c>
      <c r="B1835" s="9">
        <v>45949</v>
      </c>
      <c r="C1835" s="10" t="s">
        <v>5</v>
      </c>
      <c r="D1835" s="10" t="s">
        <v>77</v>
      </c>
      <c r="E1835" s="11" t="s">
        <v>108</v>
      </c>
      <c r="F1835" s="12">
        <v>1557.81</v>
      </c>
      <c r="G1835" s="13" t="s">
        <v>114</v>
      </c>
      <c r="H1835" s="12">
        <f t="shared" si="28"/>
        <v>1557.81</v>
      </c>
    </row>
    <row r="1836" spans="1:8">
      <c r="A1836" s="14">
        <v>1831</v>
      </c>
      <c r="B1836" s="9">
        <v>45950</v>
      </c>
      <c r="C1836" s="10" t="s">
        <v>5</v>
      </c>
      <c r="D1836" s="10" t="s">
        <v>76</v>
      </c>
      <c r="E1836" s="11" t="s">
        <v>91</v>
      </c>
      <c r="F1836" s="12">
        <v>4318.3900000000003</v>
      </c>
      <c r="G1836" s="13" t="s">
        <v>114</v>
      </c>
      <c r="H1836" s="12">
        <f t="shared" si="28"/>
        <v>4318.3900000000003</v>
      </c>
    </row>
    <row r="1837" spans="1:8">
      <c r="A1837" s="14">
        <v>1832</v>
      </c>
      <c r="B1837" s="9">
        <v>45951</v>
      </c>
      <c r="C1837" s="10" t="s">
        <v>5</v>
      </c>
      <c r="D1837" s="10" t="s">
        <v>76</v>
      </c>
      <c r="E1837" s="11" t="s">
        <v>102</v>
      </c>
      <c r="F1837" s="12">
        <v>11076.84</v>
      </c>
      <c r="G1837" s="13" t="s">
        <v>114</v>
      </c>
      <c r="H1837" s="12">
        <f t="shared" si="28"/>
        <v>11076.84</v>
      </c>
    </row>
    <row r="1838" spans="1:8">
      <c r="A1838" s="14">
        <v>1833</v>
      </c>
      <c r="B1838" s="9">
        <v>45951</v>
      </c>
      <c r="C1838" s="10" t="s">
        <v>5</v>
      </c>
      <c r="D1838" s="10" t="s">
        <v>75</v>
      </c>
      <c r="E1838" s="11" t="s">
        <v>106</v>
      </c>
      <c r="F1838" s="12">
        <v>5309.09</v>
      </c>
      <c r="G1838" s="13" t="s">
        <v>114</v>
      </c>
      <c r="H1838" s="12">
        <f t="shared" si="28"/>
        <v>5309.09</v>
      </c>
    </row>
    <row r="1839" spans="1:8">
      <c r="A1839" s="14">
        <v>1834</v>
      </c>
      <c r="B1839" s="9">
        <v>45952</v>
      </c>
      <c r="C1839" s="10" t="s">
        <v>5</v>
      </c>
      <c r="D1839" s="10" t="s">
        <v>18</v>
      </c>
      <c r="E1839" s="11" t="s">
        <v>94</v>
      </c>
      <c r="F1839" s="12">
        <v>14738.34</v>
      </c>
      <c r="G1839" s="13" t="s">
        <v>114</v>
      </c>
      <c r="H1839" s="12">
        <f t="shared" si="28"/>
        <v>14738.34</v>
      </c>
    </row>
    <row r="1840" spans="1:8">
      <c r="A1840" s="14">
        <v>1835</v>
      </c>
      <c r="B1840" s="9">
        <v>45952</v>
      </c>
      <c r="C1840" s="10" t="s">
        <v>5</v>
      </c>
      <c r="D1840" s="10" t="s">
        <v>18</v>
      </c>
      <c r="E1840" s="11" t="s">
        <v>98</v>
      </c>
      <c r="F1840" s="12">
        <v>8935.69</v>
      </c>
      <c r="G1840" s="13" t="s">
        <v>114</v>
      </c>
      <c r="H1840" s="12">
        <f t="shared" si="28"/>
        <v>8935.69</v>
      </c>
    </row>
    <row r="1841" spans="1:8">
      <c r="A1841" s="14">
        <v>1836</v>
      </c>
      <c r="B1841" s="9">
        <v>45952</v>
      </c>
      <c r="C1841" s="10" t="s">
        <v>5</v>
      </c>
      <c r="D1841" s="10" t="s">
        <v>18</v>
      </c>
      <c r="E1841" s="11" t="s">
        <v>90</v>
      </c>
      <c r="F1841" s="12">
        <v>2557.4899999999998</v>
      </c>
      <c r="G1841" s="13" t="s">
        <v>114</v>
      </c>
      <c r="H1841" s="12">
        <f t="shared" si="28"/>
        <v>2557.4899999999998</v>
      </c>
    </row>
    <row r="1842" spans="1:8">
      <c r="A1842" s="14">
        <v>1837</v>
      </c>
      <c r="B1842" s="9">
        <v>45952</v>
      </c>
      <c r="C1842" s="10" t="s">
        <v>5</v>
      </c>
      <c r="D1842" s="10" t="s">
        <v>75</v>
      </c>
      <c r="E1842" s="11" t="s">
        <v>78</v>
      </c>
      <c r="F1842" s="12">
        <v>6328.18</v>
      </c>
      <c r="G1842" s="13" t="s">
        <v>114</v>
      </c>
      <c r="H1842" s="12">
        <f t="shared" si="28"/>
        <v>6328.18</v>
      </c>
    </row>
    <row r="1843" spans="1:8">
      <c r="A1843" s="14">
        <v>1838</v>
      </c>
      <c r="B1843" s="9">
        <v>45953</v>
      </c>
      <c r="C1843" s="10" t="s">
        <v>5</v>
      </c>
      <c r="D1843" s="10" t="s">
        <v>18</v>
      </c>
      <c r="E1843" s="11" t="s">
        <v>104</v>
      </c>
      <c r="F1843" s="12">
        <v>2222.59</v>
      </c>
      <c r="G1843" s="13" t="s">
        <v>114</v>
      </c>
      <c r="H1843" s="12">
        <f t="shared" si="28"/>
        <v>2222.59</v>
      </c>
    </row>
    <row r="1844" spans="1:8">
      <c r="A1844" s="14">
        <v>1839</v>
      </c>
      <c r="B1844" s="9">
        <v>45953</v>
      </c>
      <c r="C1844" s="10" t="s">
        <v>5</v>
      </c>
      <c r="D1844" s="10" t="s">
        <v>75</v>
      </c>
      <c r="E1844" s="11" t="s">
        <v>101</v>
      </c>
      <c r="F1844" s="12">
        <v>14780.48</v>
      </c>
      <c r="G1844" s="13" t="s">
        <v>114</v>
      </c>
      <c r="H1844" s="12">
        <f t="shared" si="28"/>
        <v>14780.48</v>
      </c>
    </row>
    <row r="1845" spans="1:8">
      <c r="A1845" s="14">
        <v>1840</v>
      </c>
      <c r="B1845" s="9">
        <v>45953</v>
      </c>
      <c r="C1845" s="10" t="s">
        <v>5</v>
      </c>
      <c r="D1845" s="10" t="s">
        <v>75</v>
      </c>
      <c r="E1845" s="11" t="s">
        <v>89</v>
      </c>
      <c r="F1845" s="12">
        <v>4195.6499999999996</v>
      </c>
      <c r="G1845" s="13" t="s">
        <v>114</v>
      </c>
      <c r="H1845" s="12">
        <f t="shared" si="28"/>
        <v>4195.6499999999996</v>
      </c>
    </row>
    <row r="1846" spans="1:8">
      <c r="A1846" s="14">
        <v>1841</v>
      </c>
      <c r="B1846" s="9">
        <v>45953</v>
      </c>
      <c r="C1846" s="10" t="s">
        <v>5</v>
      </c>
      <c r="D1846" s="10" t="s">
        <v>75</v>
      </c>
      <c r="E1846" s="11" t="s">
        <v>78</v>
      </c>
      <c r="F1846" s="12">
        <v>4009.85</v>
      </c>
      <c r="G1846" s="13" t="s">
        <v>114</v>
      </c>
      <c r="H1846" s="12">
        <f t="shared" si="28"/>
        <v>4009.85</v>
      </c>
    </row>
    <row r="1847" spans="1:8">
      <c r="A1847" s="14">
        <v>1842</v>
      </c>
      <c r="B1847" s="9">
        <v>45954</v>
      </c>
      <c r="C1847" s="10" t="s">
        <v>5</v>
      </c>
      <c r="D1847" s="10" t="s">
        <v>76</v>
      </c>
      <c r="E1847" s="11" t="s">
        <v>95</v>
      </c>
      <c r="F1847" s="12">
        <v>2429.8200000000002</v>
      </c>
      <c r="G1847" s="13" t="s">
        <v>114</v>
      </c>
      <c r="H1847" s="12">
        <f t="shared" si="28"/>
        <v>2429.8200000000002</v>
      </c>
    </row>
    <row r="1848" spans="1:8">
      <c r="A1848" s="14">
        <v>1843</v>
      </c>
      <c r="B1848" s="9">
        <v>45954</v>
      </c>
      <c r="C1848" s="10" t="s">
        <v>5</v>
      </c>
      <c r="D1848" s="10" t="s">
        <v>76</v>
      </c>
      <c r="E1848" s="11" t="s">
        <v>102</v>
      </c>
      <c r="F1848" s="12">
        <v>4842.78</v>
      </c>
      <c r="G1848" s="13" t="s">
        <v>114</v>
      </c>
      <c r="H1848" s="12">
        <f t="shared" si="28"/>
        <v>4842.78</v>
      </c>
    </row>
    <row r="1849" spans="1:8">
      <c r="A1849" s="14">
        <v>1844</v>
      </c>
      <c r="B1849" s="9">
        <v>45954</v>
      </c>
      <c r="C1849" s="10" t="s">
        <v>5</v>
      </c>
      <c r="D1849" s="10" t="s">
        <v>75</v>
      </c>
      <c r="E1849" s="11" t="s">
        <v>111</v>
      </c>
      <c r="F1849" s="12">
        <v>2069.59</v>
      </c>
      <c r="G1849" s="13" t="s">
        <v>114</v>
      </c>
      <c r="H1849" s="12">
        <f t="shared" si="28"/>
        <v>2069.59</v>
      </c>
    </row>
    <row r="1850" spans="1:8">
      <c r="A1850" s="14">
        <v>1845</v>
      </c>
      <c r="B1850" s="9">
        <v>45956</v>
      </c>
      <c r="C1850" s="10" t="s">
        <v>5</v>
      </c>
      <c r="D1850" s="10" t="s">
        <v>76</v>
      </c>
      <c r="E1850" s="11" t="s">
        <v>80</v>
      </c>
      <c r="F1850" s="12">
        <v>4517.22</v>
      </c>
      <c r="G1850" s="13" t="s">
        <v>114</v>
      </c>
      <c r="H1850" s="12">
        <f t="shared" si="28"/>
        <v>4517.22</v>
      </c>
    </row>
    <row r="1851" spans="1:8">
      <c r="A1851" s="14">
        <v>1846</v>
      </c>
      <c r="B1851" s="9">
        <v>45957</v>
      </c>
      <c r="C1851" s="10" t="s">
        <v>5</v>
      </c>
      <c r="D1851" s="10" t="s">
        <v>18</v>
      </c>
      <c r="E1851" s="11" t="s">
        <v>98</v>
      </c>
      <c r="F1851" s="12">
        <v>19074.63</v>
      </c>
      <c r="G1851" s="13" t="s">
        <v>114</v>
      </c>
      <c r="H1851" s="12">
        <f t="shared" si="28"/>
        <v>19074.63</v>
      </c>
    </row>
    <row r="1852" spans="1:8">
      <c r="A1852" s="14">
        <v>1847</v>
      </c>
      <c r="B1852" s="9">
        <v>45958</v>
      </c>
      <c r="C1852" s="10" t="s">
        <v>5</v>
      </c>
      <c r="D1852" s="10" t="s">
        <v>76</v>
      </c>
      <c r="E1852" s="11" t="s">
        <v>99</v>
      </c>
      <c r="F1852" s="12">
        <v>1871.71</v>
      </c>
      <c r="G1852" s="13" t="s">
        <v>114</v>
      </c>
      <c r="H1852" s="12">
        <f t="shared" si="28"/>
        <v>1871.71</v>
      </c>
    </row>
    <row r="1853" spans="1:8">
      <c r="A1853" s="14">
        <v>1848</v>
      </c>
      <c r="B1853" s="9">
        <v>45959</v>
      </c>
      <c r="C1853" s="10" t="s">
        <v>5</v>
      </c>
      <c r="D1853" s="10" t="s">
        <v>75</v>
      </c>
      <c r="E1853" s="11" t="s">
        <v>78</v>
      </c>
      <c r="F1853" s="12">
        <v>6252.58</v>
      </c>
      <c r="G1853" s="13" t="s">
        <v>114</v>
      </c>
      <c r="H1853" s="12">
        <f t="shared" si="28"/>
        <v>6252.58</v>
      </c>
    </row>
    <row r="1854" spans="1:8">
      <c r="A1854" s="14">
        <v>1849</v>
      </c>
      <c r="B1854" s="9">
        <v>45959</v>
      </c>
      <c r="C1854" s="10" t="s">
        <v>5</v>
      </c>
      <c r="D1854" s="10" t="s">
        <v>76</v>
      </c>
      <c r="E1854" s="11" t="s">
        <v>99</v>
      </c>
      <c r="F1854" s="12">
        <v>2248.71</v>
      </c>
      <c r="G1854" s="13" t="s">
        <v>114</v>
      </c>
      <c r="H1854" s="12">
        <f t="shared" si="28"/>
        <v>2248.71</v>
      </c>
    </row>
    <row r="1855" spans="1:8">
      <c r="A1855" s="14">
        <v>1850</v>
      </c>
      <c r="B1855" s="9">
        <v>45960</v>
      </c>
      <c r="C1855" s="10" t="s">
        <v>5</v>
      </c>
      <c r="D1855" s="10" t="s">
        <v>76</v>
      </c>
      <c r="E1855" s="11" t="s">
        <v>87</v>
      </c>
      <c r="F1855" s="12">
        <v>1165.1400000000001</v>
      </c>
      <c r="G1855" s="13" t="s">
        <v>114</v>
      </c>
      <c r="H1855" s="12">
        <f t="shared" si="28"/>
        <v>1165.1400000000001</v>
      </c>
    </row>
    <row r="1856" spans="1:8">
      <c r="A1856" s="14">
        <v>1851</v>
      </c>
      <c r="B1856" s="9">
        <v>45960</v>
      </c>
      <c r="C1856" s="10" t="s">
        <v>5</v>
      </c>
      <c r="D1856" s="10" t="s">
        <v>76</v>
      </c>
      <c r="E1856" s="11" t="s">
        <v>95</v>
      </c>
      <c r="F1856" s="12">
        <v>2848.5</v>
      </c>
      <c r="G1856" s="13" t="s">
        <v>114</v>
      </c>
      <c r="H1856" s="12">
        <f t="shared" si="28"/>
        <v>2848.5</v>
      </c>
    </row>
    <row r="1857" spans="1:8">
      <c r="A1857" s="14">
        <v>1852</v>
      </c>
      <c r="B1857" s="9">
        <v>45960</v>
      </c>
      <c r="C1857" s="10" t="s">
        <v>5</v>
      </c>
      <c r="D1857" s="10" t="s">
        <v>18</v>
      </c>
      <c r="E1857" s="11" t="s">
        <v>94</v>
      </c>
      <c r="F1857" s="12">
        <v>7234.74</v>
      </c>
      <c r="G1857" s="13" t="s">
        <v>114</v>
      </c>
      <c r="H1857" s="12">
        <f t="shared" si="28"/>
        <v>7234.74</v>
      </c>
    </row>
    <row r="1858" spans="1:8">
      <c r="A1858" s="14">
        <v>1853</v>
      </c>
      <c r="B1858" s="9">
        <v>45961</v>
      </c>
      <c r="C1858" s="10" t="s">
        <v>5</v>
      </c>
      <c r="D1858" s="10" t="s">
        <v>76</v>
      </c>
      <c r="E1858" s="11" t="s">
        <v>83</v>
      </c>
      <c r="F1858" s="12">
        <v>14935.32</v>
      </c>
      <c r="G1858" s="13" t="s">
        <v>114</v>
      </c>
      <c r="H1858" s="12">
        <f t="shared" si="28"/>
        <v>14935.32</v>
      </c>
    </row>
    <row r="1859" spans="1:8">
      <c r="A1859" s="14">
        <v>1854</v>
      </c>
      <c r="B1859" s="9">
        <v>45961</v>
      </c>
      <c r="C1859" s="10" t="s">
        <v>5</v>
      </c>
      <c r="D1859" s="10" t="s">
        <v>75</v>
      </c>
      <c r="E1859" s="11" t="s">
        <v>85</v>
      </c>
      <c r="F1859" s="12">
        <v>4309.41</v>
      </c>
      <c r="G1859" s="13" t="s">
        <v>114</v>
      </c>
      <c r="H1859" s="12">
        <f t="shared" si="28"/>
        <v>4309.41</v>
      </c>
    </row>
    <row r="1860" spans="1:8">
      <c r="A1860" s="14">
        <v>1855</v>
      </c>
      <c r="B1860" s="9">
        <v>45962</v>
      </c>
      <c r="C1860" s="10" t="s">
        <v>5</v>
      </c>
      <c r="D1860" s="10" t="s">
        <v>76</v>
      </c>
      <c r="E1860" s="11" t="s">
        <v>99</v>
      </c>
      <c r="F1860" s="12">
        <v>3354.77</v>
      </c>
      <c r="G1860" s="13" t="s">
        <v>114</v>
      </c>
      <c r="H1860" s="12">
        <f t="shared" si="28"/>
        <v>3354.77</v>
      </c>
    </row>
    <row r="1861" spans="1:8">
      <c r="A1861" s="14">
        <v>1856</v>
      </c>
      <c r="B1861" s="9">
        <v>45962</v>
      </c>
      <c r="C1861" s="10" t="s">
        <v>5</v>
      </c>
      <c r="D1861" s="10" t="s">
        <v>76</v>
      </c>
      <c r="E1861" s="11" t="s">
        <v>80</v>
      </c>
      <c r="F1861" s="12">
        <v>5055.29</v>
      </c>
      <c r="G1861" s="13" t="s">
        <v>114</v>
      </c>
      <c r="H1861" s="12">
        <f t="shared" ref="H1861:H1924" si="29">IF(C1861="Despesa", F1861*-1, F1861)</f>
        <v>5055.29</v>
      </c>
    </row>
    <row r="1862" spans="1:8">
      <c r="A1862" s="14">
        <v>1857</v>
      </c>
      <c r="B1862" s="9">
        <v>45962</v>
      </c>
      <c r="C1862" s="10" t="s">
        <v>5</v>
      </c>
      <c r="D1862" s="10" t="s">
        <v>75</v>
      </c>
      <c r="E1862" s="11" t="s">
        <v>89</v>
      </c>
      <c r="F1862" s="12">
        <v>3216.29</v>
      </c>
      <c r="G1862" s="13" t="s">
        <v>114</v>
      </c>
      <c r="H1862" s="12">
        <f t="shared" si="29"/>
        <v>3216.29</v>
      </c>
    </row>
    <row r="1863" spans="1:8">
      <c r="A1863" s="14">
        <v>1858</v>
      </c>
      <c r="B1863" s="9">
        <v>45963</v>
      </c>
      <c r="C1863" s="10" t="s">
        <v>5</v>
      </c>
      <c r="D1863" s="10" t="s">
        <v>75</v>
      </c>
      <c r="E1863" s="11" t="s">
        <v>101</v>
      </c>
      <c r="F1863" s="12">
        <v>6308.68</v>
      </c>
      <c r="G1863" s="13" t="s">
        <v>114</v>
      </c>
      <c r="H1863" s="12">
        <f t="shared" si="29"/>
        <v>6308.68</v>
      </c>
    </row>
    <row r="1864" spans="1:8">
      <c r="A1864" s="14">
        <v>1859</v>
      </c>
      <c r="B1864" s="9">
        <v>45963</v>
      </c>
      <c r="C1864" s="10" t="s">
        <v>5</v>
      </c>
      <c r="D1864" s="10" t="s">
        <v>77</v>
      </c>
      <c r="E1864" s="11" t="s">
        <v>84</v>
      </c>
      <c r="F1864" s="12">
        <v>1517.2</v>
      </c>
      <c r="G1864" s="13" t="s">
        <v>114</v>
      </c>
      <c r="H1864" s="12">
        <f t="shared" si="29"/>
        <v>1517.2</v>
      </c>
    </row>
    <row r="1865" spans="1:8">
      <c r="A1865" s="14">
        <v>1860</v>
      </c>
      <c r="B1865" s="9">
        <v>45963</v>
      </c>
      <c r="C1865" s="10" t="s">
        <v>5</v>
      </c>
      <c r="D1865" s="10" t="s">
        <v>75</v>
      </c>
      <c r="E1865" s="11" t="s">
        <v>85</v>
      </c>
      <c r="F1865" s="12">
        <v>7023.79</v>
      </c>
      <c r="G1865" s="13" t="s">
        <v>114</v>
      </c>
      <c r="H1865" s="12">
        <f t="shared" si="29"/>
        <v>7023.79</v>
      </c>
    </row>
    <row r="1866" spans="1:8">
      <c r="A1866" s="14">
        <v>1861</v>
      </c>
      <c r="B1866" s="9">
        <v>45964</v>
      </c>
      <c r="C1866" s="10" t="s">
        <v>5</v>
      </c>
      <c r="D1866" s="10" t="s">
        <v>18</v>
      </c>
      <c r="E1866" s="11" t="s">
        <v>104</v>
      </c>
      <c r="F1866" s="12">
        <v>7054.15</v>
      </c>
      <c r="G1866" s="13" t="s">
        <v>114</v>
      </c>
      <c r="H1866" s="12">
        <f t="shared" si="29"/>
        <v>7054.15</v>
      </c>
    </row>
    <row r="1867" spans="1:8">
      <c r="A1867" s="14">
        <v>1862</v>
      </c>
      <c r="B1867" s="9">
        <v>45964</v>
      </c>
      <c r="C1867" s="10" t="s">
        <v>5</v>
      </c>
      <c r="D1867" s="10" t="s">
        <v>75</v>
      </c>
      <c r="E1867" s="11" t="s">
        <v>78</v>
      </c>
      <c r="F1867" s="12">
        <v>3187.09</v>
      </c>
      <c r="G1867" s="13" t="s">
        <v>114</v>
      </c>
      <c r="H1867" s="12">
        <f t="shared" si="29"/>
        <v>3187.09</v>
      </c>
    </row>
    <row r="1868" spans="1:8">
      <c r="A1868" s="14">
        <v>1863</v>
      </c>
      <c r="B1868" s="9">
        <v>45965</v>
      </c>
      <c r="C1868" s="10" t="s">
        <v>5</v>
      </c>
      <c r="D1868" s="10" t="s">
        <v>18</v>
      </c>
      <c r="E1868" s="11" t="s">
        <v>94</v>
      </c>
      <c r="F1868" s="12">
        <v>5889.2</v>
      </c>
      <c r="G1868" s="13" t="s">
        <v>114</v>
      </c>
      <c r="H1868" s="12">
        <f t="shared" si="29"/>
        <v>5889.2</v>
      </c>
    </row>
    <row r="1869" spans="1:8">
      <c r="A1869" s="14">
        <v>1864</v>
      </c>
      <c r="B1869" s="9">
        <v>45966</v>
      </c>
      <c r="C1869" s="10" t="s">
        <v>5</v>
      </c>
      <c r="D1869" s="10" t="s">
        <v>18</v>
      </c>
      <c r="E1869" s="11" t="s">
        <v>90</v>
      </c>
      <c r="F1869" s="12">
        <v>5968.85</v>
      </c>
      <c r="G1869" s="13" t="s">
        <v>114</v>
      </c>
      <c r="H1869" s="12">
        <f t="shared" si="29"/>
        <v>5968.85</v>
      </c>
    </row>
    <row r="1870" spans="1:8">
      <c r="A1870" s="14">
        <v>1865</v>
      </c>
      <c r="B1870" s="9">
        <v>45966</v>
      </c>
      <c r="C1870" s="10" t="s">
        <v>5</v>
      </c>
      <c r="D1870" s="10" t="s">
        <v>77</v>
      </c>
      <c r="E1870" s="11" t="s">
        <v>105</v>
      </c>
      <c r="F1870" s="12">
        <v>61183.12</v>
      </c>
      <c r="G1870" s="13" t="s">
        <v>114</v>
      </c>
      <c r="H1870" s="12">
        <f t="shared" si="29"/>
        <v>61183.12</v>
      </c>
    </row>
    <row r="1871" spans="1:8">
      <c r="A1871" s="14">
        <v>1866</v>
      </c>
      <c r="B1871" s="9">
        <v>45966</v>
      </c>
      <c r="C1871" s="10" t="s">
        <v>5</v>
      </c>
      <c r="D1871" s="10" t="s">
        <v>76</v>
      </c>
      <c r="E1871" s="11" t="s">
        <v>99</v>
      </c>
      <c r="F1871" s="12">
        <v>4184.3999999999996</v>
      </c>
      <c r="G1871" s="13" t="s">
        <v>114</v>
      </c>
      <c r="H1871" s="12">
        <f t="shared" si="29"/>
        <v>4184.3999999999996</v>
      </c>
    </row>
    <row r="1872" spans="1:8">
      <c r="A1872" s="14">
        <v>1867</v>
      </c>
      <c r="B1872" s="9">
        <v>45966</v>
      </c>
      <c r="C1872" s="10" t="s">
        <v>5</v>
      </c>
      <c r="D1872" s="10" t="s">
        <v>75</v>
      </c>
      <c r="E1872" s="11" t="s">
        <v>106</v>
      </c>
      <c r="F1872" s="12">
        <v>845.26</v>
      </c>
      <c r="G1872" s="13" t="s">
        <v>114</v>
      </c>
      <c r="H1872" s="12">
        <f t="shared" si="29"/>
        <v>845.26</v>
      </c>
    </row>
    <row r="1873" spans="1:8">
      <c r="A1873" s="14">
        <v>1868</v>
      </c>
      <c r="B1873" s="9">
        <v>45967</v>
      </c>
      <c r="C1873" s="10" t="s">
        <v>5</v>
      </c>
      <c r="D1873" s="10" t="s">
        <v>75</v>
      </c>
      <c r="E1873" s="11" t="s">
        <v>82</v>
      </c>
      <c r="F1873" s="12">
        <v>4865.78</v>
      </c>
      <c r="G1873" s="13" t="s">
        <v>114</v>
      </c>
      <c r="H1873" s="12">
        <f t="shared" si="29"/>
        <v>4865.78</v>
      </c>
    </row>
    <row r="1874" spans="1:8">
      <c r="A1874" s="14">
        <v>1869</v>
      </c>
      <c r="B1874" s="9">
        <v>45967</v>
      </c>
      <c r="C1874" s="10" t="s">
        <v>5</v>
      </c>
      <c r="D1874" s="10" t="s">
        <v>76</v>
      </c>
      <c r="E1874" s="11" t="s">
        <v>80</v>
      </c>
      <c r="F1874" s="12">
        <v>6195.59</v>
      </c>
      <c r="G1874" s="13" t="s">
        <v>114</v>
      </c>
      <c r="H1874" s="12">
        <f t="shared" si="29"/>
        <v>6195.59</v>
      </c>
    </row>
    <row r="1875" spans="1:8">
      <c r="A1875" s="14">
        <v>1870</v>
      </c>
      <c r="B1875" s="9">
        <v>45968</v>
      </c>
      <c r="C1875" s="10" t="s">
        <v>5</v>
      </c>
      <c r="D1875" s="10" t="s">
        <v>75</v>
      </c>
      <c r="E1875" s="11" t="s">
        <v>85</v>
      </c>
      <c r="F1875" s="12">
        <v>3293.58</v>
      </c>
      <c r="G1875" s="13" t="s">
        <v>114</v>
      </c>
      <c r="H1875" s="12">
        <f t="shared" si="29"/>
        <v>3293.58</v>
      </c>
    </row>
    <row r="1876" spans="1:8">
      <c r="A1876" s="14">
        <v>1871</v>
      </c>
      <c r="B1876" s="9">
        <v>45968</v>
      </c>
      <c r="C1876" s="10" t="s">
        <v>5</v>
      </c>
      <c r="D1876" s="10" t="s">
        <v>76</v>
      </c>
      <c r="E1876" s="11" t="s">
        <v>91</v>
      </c>
      <c r="F1876" s="12">
        <v>10095.48</v>
      </c>
      <c r="G1876" s="13" t="s">
        <v>114</v>
      </c>
      <c r="H1876" s="12">
        <f t="shared" si="29"/>
        <v>10095.48</v>
      </c>
    </row>
    <row r="1877" spans="1:8">
      <c r="A1877" s="14">
        <v>1872</v>
      </c>
      <c r="B1877" s="9">
        <v>45969</v>
      </c>
      <c r="C1877" s="10" t="s">
        <v>5</v>
      </c>
      <c r="D1877" s="10" t="s">
        <v>75</v>
      </c>
      <c r="E1877" s="11" t="s">
        <v>97</v>
      </c>
      <c r="F1877" s="12">
        <v>2938.46</v>
      </c>
      <c r="G1877" s="13" t="s">
        <v>114</v>
      </c>
      <c r="H1877" s="12">
        <f t="shared" si="29"/>
        <v>2938.46</v>
      </c>
    </row>
    <row r="1878" spans="1:8">
      <c r="A1878" s="14">
        <v>1873</v>
      </c>
      <c r="B1878" s="9">
        <v>45971</v>
      </c>
      <c r="C1878" s="10" t="s">
        <v>5</v>
      </c>
      <c r="D1878" s="10" t="s">
        <v>75</v>
      </c>
      <c r="E1878" s="11" t="s">
        <v>89</v>
      </c>
      <c r="F1878" s="12">
        <v>3999.07</v>
      </c>
      <c r="G1878" s="13" t="s">
        <v>114</v>
      </c>
      <c r="H1878" s="12">
        <f t="shared" si="29"/>
        <v>3999.07</v>
      </c>
    </row>
    <row r="1879" spans="1:8">
      <c r="A1879" s="14">
        <v>1874</v>
      </c>
      <c r="B1879" s="9">
        <v>45973</v>
      </c>
      <c r="C1879" s="10" t="s">
        <v>5</v>
      </c>
      <c r="D1879" s="10" t="s">
        <v>76</v>
      </c>
      <c r="E1879" s="11" t="s">
        <v>83</v>
      </c>
      <c r="F1879" s="12">
        <v>46500.27</v>
      </c>
      <c r="G1879" s="13" t="s">
        <v>114</v>
      </c>
      <c r="H1879" s="12">
        <f t="shared" si="29"/>
        <v>46500.27</v>
      </c>
    </row>
    <row r="1880" spans="1:8">
      <c r="A1880" s="14">
        <v>1875</v>
      </c>
      <c r="B1880" s="9">
        <v>45973</v>
      </c>
      <c r="C1880" s="10" t="s">
        <v>5</v>
      </c>
      <c r="D1880" s="10" t="s">
        <v>75</v>
      </c>
      <c r="E1880" s="11" t="s">
        <v>82</v>
      </c>
      <c r="F1880" s="12">
        <v>6396.47</v>
      </c>
      <c r="G1880" s="13" t="s">
        <v>114</v>
      </c>
      <c r="H1880" s="12">
        <f t="shared" si="29"/>
        <v>6396.47</v>
      </c>
    </row>
    <row r="1881" spans="1:8">
      <c r="A1881" s="14">
        <v>1876</v>
      </c>
      <c r="B1881" s="9">
        <v>45974</v>
      </c>
      <c r="C1881" s="10" t="s">
        <v>5</v>
      </c>
      <c r="D1881" s="10" t="s">
        <v>75</v>
      </c>
      <c r="E1881" s="11" t="s">
        <v>89</v>
      </c>
      <c r="F1881" s="12">
        <v>6370.59</v>
      </c>
      <c r="G1881" s="13" t="s">
        <v>114</v>
      </c>
      <c r="H1881" s="12">
        <f t="shared" si="29"/>
        <v>6370.59</v>
      </c>
    </row>
    <row r="1882" spans="1:8">
      <c r="A1882" s="14">
        <v>1877</v>
      </c>
      <c r="B1882" s="9">
        <v>45974</v>
      </c>
      <c r="C1882" s="10" t="s">
        <v>5</v>
      </c>
      <c r="D1882" s="10" t="s">
        <v>18</v>
      </c>
      <c r="E1882" s="11" t="s">
        <v>79</v>
      </c>
      <c r="F1882" s="12">
        <v>13156.94</v>
      </c>
      <c r="G1882" s="13" t="s">
        <v>114</v>
      </c>
      <c r="H1882" s="12">
        <f t="shared" si="29"/>
        <v>13156.94</v>
      </c>
    </row>
    <row r="1883" spans="1:8">
      <c r="A1883" s="14">
        <v>1878</v>
      </c>
      <c r="B1883" s="9">
        <v>45974</v>
      </c>
      <c r="C1883" s="10" t="s">
        <v>5</v>
      </c>
      <c r="D1883" s="10" t="s">
        <v>75</v>
      </c>
      <c r="E1883" s="11" t="s">
        <v>78</v>
      </c>
      <c r="F1883" s="12">
        <v>5419.79</v>
      </c>
      <c r="G1883" s="13" t="s">
        <v>114</v>
      </c>
      <c r="H1883" s="12">
        <f t="shared" si="29"/>
        <v>5419.79</v>
      </c>
    </row>
    <row r="1884" spans="1:8">
      <c r="A1884" s="14">
        <v>1879</v>
      </c>
      <c r="B1884" s="9">
        <v>45974</v>
      </c>
      <c r="C1884" s="10" t="s">
        <v>5</v>
      </c>
      <c r="D1884" s="10" t="s">
        <v>18</v>
      </c>
      <c r="E1884" s="11" t="s">
        <v>86</v>
      </c>
      <c r="F1884" s="12">
        <v>11911.67</v>
      </c>
      <c r="G1884" s="13" t="s">
        <v>114</v>
      </c>
      <c r="H1884" s="12">
        <f t="shared" si="29"/>
        <v>11911.67</v>
      </c>
    </row>
    <row r="1885" spans="1:8">
      <c r="A1885" s="14">
        <v>1880</v>
      </c>
      <c r="B1885" s="9">
        <v>45974</v>
      </c>
      <c r="C1885" s="10" t="s">
        <v>5</v>
      </c>
      <c r="D1885" s="10" t="s">
        <v>76</v>
      </c>
      <c r="E1885" s="11" t="s">
        <v>95</v>
      </c>
      <c r="F1885" s="12">
        <v>3046.01</v>
      </c>
      <c r="G1885" s="13" t="s">
        <v>114</v>
      </c>
      <c r="H1885" s="12">
        <f t="shared" si="29"/>
        <v>3046.01</v>
      </c>
    </row>
    <row r="1886" spans="1:8">
      <c r="A1886" s="14">
        <v>1881</v>
      </c>
      <c r="B1886" s="9">
        <v>45974</v>
      </c>
      <c r="C1886" s="10" t="s">
        <v>5</v>
      </c>
      <c r="D1886" s="10" t="s">
        <v>76</v>
      </c>
      <c r="E1886" s="11" t="s">
        <v>102</v>
      </c>
      <c r="F1886" s="12">
        <v>5635.68</v>
      </c>
      <c r="G1886" s="13" t="s">
        <v>114</v>
      </c>
      <c r="H1886" s="12">
        <f t="shared" si="29"/>
        <v>5635.68</v>
      </c>
    </row>
    <row r="1887" spans="1:8">
      <c r="A1887" s="14">
        <v>1882</v>
      </c>
      <c r="B1887" s="9">
        <v>45975</v>
      </c>
      <c r="C1887" s="10" t="s">
        <v>5</v>
      </c>
      <c r="D1887" s="10" t="s">
        <v>77</v>
      </c>
      <c r="E1887" s="11" t="s">
        <v>81</v>
      </c>
      <c r="F1887" s="12">
        <v>3887.49</v>
      </c>
      <c r="G1887" s="13" t="s">
        <v>114</v>
      </c>
      <c r="H1887" s="12">
        <f t="shared" si="29"/>
        <v>3887.49</v>
      </c>
    </row>
    <row r="1888" spans="1:8">
      <c r="A1888" s="14">
        <v>1883</v>
      </c>
      <c r="B1888" s="9">
        <v>45975</v>
      </c>
      <c r="C1888" s="10" t="s">
        <v>5</v>
      </c>
      <c r="D1888" s="10" t="s">
        <v>75</v>
      </c>
      <c r="E1888" s="11" t="s">
        <v>97</v>
      </c>
      <c r="F1888" s="12">
        <v>542.22</v>
      </c>
      <c r="G1888" s="13" t="s">
        <v>114</v>
      </c>
      <c r="H1888" s="12">
        <f t="shared" si="29"/>
        <v>542.22</v>
      </c>
    </row>
    <row r="1889" spans="1:8">
      <c r="A1889" s="14">
        <v>1884</v>
      </c>
      <c r="B1889" s="9">
        <v>45975</v>
      </c>
      <c r="C1889" s="10" t="s">
        <v>5</v>
      </c>
      <c r="D1889" s="10" t="s">
        <v>76</v>
      </c>
      <c r="E1889" s="11" t="s">
        <v>87</v>
      </c>
      <c r="F1889" s="12">
        <v>1864.9</v>
      </c>
      <c r="G1889" s="13" t="s">
        <v>114</v>
      </c>
      <c r="H1889" s="12">
        <f t="shared" si="29"/>
        <v>1864.9</v>
      </c>
    </row>
    <row r="1890" spans="1:8">
      <c r="A1890" s="14">
        <v>1885</v>
      </c>
      <c r="B1890" s="9">
        <v>45975</v>
      </c>
      <c r="C1890" s="10" t="s">
        <v>5</v>
      </c>
      <c r="D1890" s="10" t="s">
        <v>75</v>
      </c>
      <c r="E1890" s="11" t="s">
        <v>97</v>
      </c>
      <c r="F1890" s="12">
        <v>1291.48</v>
      </c>
      <c r="G1890" s="13" t="s">
        <v>114</v>
      </c>
      <c r="H1890" s="12">
        <f t="shared" si="29"/>
        <v>1291.48</v>
      </c>
    </row>
    <row r="1891" spans="1:8">
      <c r="A1891" s="14">
        <v>1886</v>
      </c>
      <c r="B1891" s="9">
        <v>45975</v>
      </c>
      <c r="C1891" s="10" t="s">
        <v>5</v>
      </c>
      <c r="D1891" s="10" t="s">
        <v>77</v>
      </c>
      <c r="E1891" s="11" t="s">
        <v>103</v>
      </c>
      <c r="F1891" s="12">
        <v>40164.43</v>
      </c>
      <c r="G1891" s="13" t="s">
        <v>114</v>
      </c>
      <c r="H1891" s="12">
        <f t="shared" si="29"/>
        <v>40164.43</v>
      </c>
    </row>
    <row r="1892" spans="1:8">
      <c r="A1892" s="14">
        <v>1887</v>
      </c>
      <c r="B1892" s="9">
        <v>45975</v>
      </c>
      <c r="C1892" s="10" t="s">
        <v>5</v>
      </c>
      <c r="D1892" s="10" t="s">
        <v>75</v>
      </c>
      <c r="E1892" s="11" t="s">
        <v>89</v>
      </c>
      <c r="F1892" s="12">
        <v>4013.68</v>
      </c>
      <c r="G1892" s="13" t="s">
        <v>114</v>
      </c>
      <c r="H1892" s="12">
        <f t="shared" si="29"/>
        <v>4013.68</v>
      </c>
    </row>
    <row r="1893" spans="1:8">
      <c r="A1893" s="14">
        <v>1888</v>
      </c>
      <c r="B1893" s="9">
        <v>45976</v>
      </c>
      <c r="C1893" s="10" t="s">
        <v>5</v>
      </c>
      <c r="D1893" s="10" t="s">
        <v>75</v>
      </c>
      <c r="E1893" s="11" t="s">
        <v>97</v>
      </c>
      <c r="F1893" s="12">
        <v>514.69000000000005</v>
      </c>
      <c r="G1893" s="13" t="s">
        <v>114</v>
      </c>
      <c r="H1893" s="12">
        <f t="shared" si="29"/>
        <v>514.69000000000005</v>
      </c>
    </row>
    <row r="1894" spans="1:8">
      <c r="A1894" s="14">
        <v>1889</v>
      </c>
      <c r="B1894" s="9">
        <v>45976</v>
      </c>
      <c r="C1894" s="10" t="s">
        <v>5</v>
      </c>
      <c r="D1894" s="10" t="s">
        <v>75</v>
      </c>
      <c r="E1894" s="11" t="s">
        <v>78</v>
      </c>
      <c r="F1894" s="12">
        <v>4082.86</v>
      </c>
      <c r="G1894" s="13" t="s">
        <v>114</v>
      </c>
      <c r="H1894" s="12">
        <f t="shared" si="29"/>
        <v>4082.86</v>
      </c>
    </row>
    <row r="1895" spans="1:8">
      <c r="A1895" s="14">
        <v>1890</v>
      </c>
      <c r="B1895" s="9">
        <v>45977</v>
      </c>
      <c r="C1895" s="10" t="s">
        <v>5</v>
      </c>
      <c r="D1895" s="10" t="s">
        <v>76</v>
      </c>
      <c r="E1895" s="11" t="s">
        <v>80</v>
      </c>
      <c r="F1895" s="12">
        <v>8497.8700000000008</v>
      </c>
      <c r="G1895" s="13" t="s">
        <v>114</v>
      </c>
      <c r="H1895" s="12">
        <f t="shared" si="29"/>
        <v>8497.8700000000008</v>
      </c>
    </row>
    <row r="1896" spans="1:8">
      <c r="A1896" s="14">
        <v>1891</v>
      </c>
      <c r="B1896" s="9">
        <v>45977</v>
      </c>
      <c r="C1896" s="10" t="s">
        <v>5</v>
      </c>
      <c r="D1896" s="10" t="s">
        <v>76</v>
      </c>
      <c r="E1896" s="11" t="s">
        <v>99</v>
      </c>
      <c r="F1896" s="12">
        <v>3199.45</v>
      </c>
      <c r="G1896" s="13" t="s">
        <v>114</v>
      </c>
      <c r="H1896" s="12">
        <f t="shared" si="29"/>
        <v>3199.45</v>
      </c>
    </row>
    <row r="1897" spans="1:8">
      <c r="A1897" s="14">
        <v>1892</v>
      </c>
      <c r="B1897" s="9">
        <v>45977</v>
      </c>
      <c r="C1897" s="10" t="s">
        <v>5</v>
      </c>
      <c r="D1897" s="10" t="s">
        <v>75</v>
      </c>
      <c r="E1897" s="11" t="s">
        <v>78</v>
      </c>
      <c r="F1897" s="12">
        <v>3992.91</v>
      </c>
      <c r="G1897" s="13" t="s">
        <v>114</v>
      </c>
      <c r="H1897" s="12">
        <f t="shared" si="29"/>
        <v>3992.91</v>
      </c>
    </row>
    <row r="1898" spans="1:8">
      <c r="A1898" s="14">
        <v>1893</v>
      </c>
      <c r="B1898" s="9">
        <v>45978</v>
      </c>
      <c r="C1898" s="10" t="s">
        <v>5</v>
      </c>
      <c r="D1898" s="10" t="s">
        <v>75</v>
      </c>
      <c r="E1898" s="11" t="s">
        <v>106</v>
      </c>
      <c r="F1898" s="12">
        <v>2513.3000000000002</v>
      </c>
      <c r="G1898" s="13" t="s">
        <v>114</v>
      </c>
      <c r="H1898" s="12">
        <f t="shared" si="29"/>
        <v>2513.3000000000002</v>
      </c>
    </row>
    <row r="1899" spans="1:8">
      <c r="A1899" s="14">
        <v>1894</v>
      </c>
      <c r="B1899" s="9">
        <v>45978</v>
      </c>
      <c r="C1899" s="10" t="s">
        <v>5</v>
      </c>
      <c r="D1899" s="10" t="s">
        <v>75</v>
      </c>
      <c r="E1899" s="11" t="s">
        <v>93</v>
      </c>
      <c r="F1899" s="12">
        <v>8479.65</v>
      </c>
      <c r="G1899" s="13" t="s">
        <v>114</v>
      </c>
      <c r="H1899" s="12">
        <f t="shared" si="29"/>
        <v>8479.65</v>
      </c>
    </row>
    <row r="1900" spans="1:8">
      <c r="A1900" s="14">
        <v>1895</v>
      </c>
      <c r="B1900" s="9">
        <v>45978</v>
      </c>
      <c r="C1900" s="10" t="s">
        <v>5</v>
      </c>
      <c r="D1900" s="10" t="s">
        <v>75</v>
      </c>
      <c r="E1900" s="11" t="s">
        <v>78</v>
      </c>
      <c r="F1900" s="12">
        <v>3161.96</v>
      </c>
      <c r="G1900" s="13" t="s">
        <v>114</v>
      </c>
      <c r="H1900" s="12">
        <f t="shared" si="29"/>
        <v>3161.96</v>
      </c>
    </row>
    <row r="1901" spans="1:8">
      <c r="A1901" s="14">
        <v>1896</v>
      </c>
      <c r="B1901" s="9">
        <v>45978</v>
      </c>
      <c r="C1901" s="10" t="s">
        <v>5</v>
      </c>
      <c r="D1901" s="10" t="s">
        <v>18</v>
      </c>
      <c r="E1901" s="11" t="s">
        <v>104</v>
      </c>
      <c r="F1901" s="12">
        <v>6610.03</v>
      </c>
      <c r="G1901" s="13" t="s">
        <v>114</v>
      </c>
      <c r="H1901" s="12">
        <f t="shared" si="29"/>
        <v>6610.03</v>
      </c>
    </row>
    <row r="1902" spans="1:8">
      <c r="A1902" s="14">
        <v>1897</v>
      </c>
      <c r="B1902" s="9">
        <v>45978</v>
      </c>
      <c r="C1902" s="10" t="s">
        <v>5</v>
      </c>
      <c r="D1902" s="10" t="s">
        <v>75</v>
      </c>
      <c r="E1902" s="11" t="s">
        <v>97</v>
      </c>
      <c r="F1902" s="12">
        <v>356.85</v>
      </c>
      <c r="G1902" s="13" t="s">
        <v>114</v>
      </c>
      <c r="H1902" s="12">
        <f t="shared" si="29"/>
        <v>356.85</v>
      </c>
    </row>
    <row r="1903" spans="1:8">
      <c r="A1903" s="14">
        <v>1898</v>
      </c>
      <c r="B1903" s="9">
        <v>45978</v>
      </c>
      <c r="C1903" s="10" t="s">
        <v>5</v>
      </c>
      <c r="D1903" s="10" t="s">
        <v>75</v>
      </c>
      <c r="E1903" s="11" t="s">
        <v>106</v>
      </c>
      <c r="F1903" s="12">
        <v>2257.91</v>
      </c>
      <c r="G1903" s="13" t="s">
        <v>114</v>
      </c>
      <c r="H1903" s="12">
        <f t="shared" si="29"/>
        <v>2257.91</v>
      </c>
    </row>
    <row r="1904" spans="1:8">
      <c r="A1904" s="14">
        <v>1899</v>
      </c>
      <c r="B1904" s="9">
        <v>45979</v>
      </c>
      <c r="C1904" s="10" t="s">
        <v>5</v>
      </c>
      <c r="D1904" s="10" t="s">
        <v>76</v>
      </c>
      <c r="E1904" s="11" t="s">
        <v>87</v>
      </c>
      <c r="F1904" s="12">
        <v>1454.15</v>
      </c>
      <c r="G1904" s="13" t="s">
        <v>114</v>
      </c>
      <c r="H1904" s="12">
        <f t="shared" si="29"/>
        <v>1454.15</v>
      </c>
    </row>
    <row r="1905" spans="1:8">
      <c r="A1905" s="14">
        <v>1900</v>
      </c>
      <c r="B1905" s="9">
        <v>45980</v>
      </c>
      <c r="C1905" s="10" t="s">
        <v>5</v>
      </c>
      <c r="D1905" s="10" t="s">
        <v>75</v>
      </c>
      <c r="E1905" s="11" t="s">
        <v>85</v>
      </c>
      <c r="F1905" s="12">
        <v>1460.02</v>
      </c>
      <c r="G1905" s="13" t="s">
        <v>114</v>
      </c>
      <c r="H1905" s="12">
        <f t="shared" si="29"/>
        <v>1460.02</v>
      </c>
    </row>
    <row r="1906" spans="1:8">
      <c r="A1906" s="14">
        <v>1901</v>
      </c>
      <c r="B1906" s="9">
        <v>45980</v>
      </c>
      <c r="C1906" s="10" t="s">
        <v>5</v>
      </c>
      <c r="D1906" s="10" t="s">
        <v>75</v>
      </c>
      <c r="E1906" s="11" t="s">
        <v>106</v>
      </c>
      <c r="F1906" s="12">
        <v>1279.22</v>
      </c>
      <c r="G1906" s="13" t="s">
        <v>114</v>
      </c>
      <c r="H1906" s="12">
        <f t="shared" si="29"/>
        <v>1279.22</v>
      </c>
    </row>
    <row r="1907" spans="1:8">
      <c r="A1907" s="14">
        <v>1902</v>
      </c>
      <c r="B1907" s="9">
        <v>45980</v>
      </c>
      <c r="C1907" s="10" t="s">
        <v>5</v>
      </c>
      <c r="D1907" s="10" t="s">
        <v>76</v>
      </c>
      <c r="E1907" s="11" t="s">
        <v>91</v>
      </c>
      <c r="F1907" s="12">
        <v>3497.57</v>
      </c>
      <c r="G1907" s="13" t="s">
        <v>114</v>
      </c>
      <c r="H1907" s="12">
        <f t="shared" si="29"/>
        <v>3497.57</v>
      </c>
    </row>
    <row r="1908" spans="1:8">
      <c r="A1908" s="14">
        <v>1903</v>
      </c>
      <c r="B1908" s="9">
        <v>45981</v>
      </c>
      <c r="C1908" s="10" t="s">
        <v>5</v>
      </c>
      <c r="D1908" s="10" t="s">
        <v>76</v>
      </c>
      <c r="E1908" s="11" t="s">
        <v>80</v>
      </c>
      <c r="F1908" s="12">
        <v>11044.78</v>
      </c>
      <c r="G1908" s="13" t="s">
        <v>114</v>
      </c>
      <c r="H1908" s="12">
        <f t="shared" si="29"/>
        <v>11044.78</v>
      </c>
    </row>
    <row r="1909" spans="1:8">
      <c r="A1909" s="14">
        <v>1904</v>
      </c>
      <c r="B1909" s="9">
        <v>45981</v>
      </c>
      <c r="C1909" s="10" t="s">
        <v>5</v>
      </c>
      <c r="D1909" s="10" t="s">
        <v>76</v>
      </c>
      <c r="E1909" s="11" t="s">
        <v>87</v>
      </c>
      <c r="F1909" s="12">
        <v>814.92</v>
      </c>
      <c r="G1909" s="13" t="s">
        <v>114</v>
      </c>
      <c r="H1909" s="12">
        <f t="shared" si="29"/>
        <v>814.92</v>
      </c>
    </row>
    <row r="1910" spans="1:8">
      <c r="A1910" s="14">
        <v>1905</v>
      </c>
      <c r="B1910" s="9">
        <v>45982</v>
      </c>
      <c r="C1910" s="10" t="s">
        <v>5</v>
      </c>
      <c r="D1910" s="10" t="s">
        <v>76</v>
      </c>
      <c r="E1910" s="11" t="s">
        <v>99</v>
      </c>
      <c r="F1910" s="12">
        <v>2388.5300000000002</v>
      </c>
      <c r="G1910" s="13" t="s">
        <v>114</v>
      </c>
      <c r="H1910" s="12">
        <f t="shared" si="29"/>
        <v>2388.5300000000002</v>
      </c>
    </row>
    <row r="1911" spans="1:8">
      <c r="A1911" s="14">
        <v>1906</v>
      </c>
      <c r="B1911" s="9">
        <v>45982</v>
      </c>
      <c r="C1911" s="10" t="s">
        <v>5</v>
      </c>
      <c r="D1911" s="10" t="s">
        <v>75</v>
      </c>
      <c r="E1911" s="11" t="s">
        <v>78</v>
      </c>
      <c r="F1911" s="12">
        <v>4836.2299999999996</v>
      </c>
      <c r="G1911" s="13" t="s">
        <v>114</v>
      </c>
      <c r="H1911" s="12">
        <f t="shared" si="29"/>
        <v>4836.2299999999996</v>
      </c>
    </row>
    <row r="1912" spans="1:8">
      <c r="A1912" s="14">
        <v>1907</v>
      </c>
      <c r="B1912" s="9">
        <v>45982</v>
      </c>
      <c r="C1912" s="10" t="s">
        <v>5</v>
      </c>
      <c r="D1912" s="10" t="s">
        <v>18</v>
      </c>
      <c r="E1912" s="11" t="s">
        <v>104</v>
      </c>
      <c r="F1912" s="12">
        <v>5823.39</v>
      </c>
      <c r="G1912" s="13" t="s">
        <v>114</v>
      </c>
      <c r="H1912" s="12">
        <f t="shared" si="29"/>
        <v>5823.39</v>
      </c>
    </row>
    <row r="1913" spans="1:8">
      <c r="A1913" s="14">
        <v>1908</v>
      </c>
      <c r="B1913" s="9">
        <v>45983</v>
      </c>
      <c r="C1913" s="10" t="s">
        <v>5</v>
      </c>
      <c r="D1913" s="10" t="s">
        <v>75</v>
      </c>
      <c r="E1913" s="11" t="s">
        <v>85</v>
      </c>
      <c r="F1913" s="12">
        <v>9646.18</v>
      </c>
      <c r="G1913" s="13" t="s">
        <v>114</v>
      </c>
      <c r="H1913" s="12">
        <f t="shared" si="29"/>
        <v>9646.18</v>
      </c>
    </row>
    <row r="1914" spans="1:8">
      <c r="A1914" s="14">
        <v>1909</v>
      </c>
      <c r="B1914" s="9">
        <v>45985</v>
      </c>
      <c r="C1914" s="10" t="s">
        <v>5</v>
      </c>
      <c r="D1914" s="10" t="s">
        <v>76</v>
      </c>
      <c r="E1914" s="11" t="s">
        <v>102</v>
      </c>
      <c r="F1914" s="12">
        <v>10813.68</v>
      </c>
      <c r="G1914" s="13" t="s">
        <v>114</v>
      </c>
      <c r="H1914" s="12">
        <f t="shared" si="29"/>
        <v>10813.68</v>
      </c>
    </row>
    <row r="1915" spans="1:8">
      <c r="A1915" s="14">
        <v>1910</v>
      </c>
      <c r="B1915" s="9">
        <v>45985</v>
      </c>
      <c r="C1915" s="10" t="s">
        <v>5</v>
      </c>
      <c r="D1915" s="10" t="s">
        <v>76</v>
      </c>
      <c r="E1915" s="11" t="s">
        <v>80</v>
      </c>
      <c r="F1915" s="12">
        <v>3044.77</v>
      </c>
      <c r="G1915" s="13" t="s">
        <v>114</v>
      </c>
      <c r="H1915" s="12">
        <f t="shared" si="29"/>
        <v>3044.77</v>
      </c>
    </row>
    <row r="1916" spans="1:8">
      <c r="A1916" s="14">
        <v>1911</v>
      </c>
      <c r="B1916" s="9">
        <v>45985</v>
      </c>
      <c r="C1916" s="10" t="s">
        <v>5</v>
      </c>
      <c r="D1916" s="10" t="s">
        <v>75</v>
      </c>
      <c r="E1916" s="11" t="s">
        <v>106</v>
      </c>
      <c r="F1916" s="12">
        <v>3080.96</v>
      </c>
      <c r="G1916" s="13" t="s">
        <v>114</v>
      </c>
      <c r="H1916" s="12">
        <f t="shared" si="29"/>
        <v>3080.96</v>
      </c>
    </row>
    <row r="1917" spans="1:8">
      <c r="A1917" s="14">
        <v>1912</v>
      </c>
      <c r="B1917" s="9">
        <v>45986</v>
      </c>
      <c r="C1917" s="10" t="s">
        <v>5</v>
      </c>
      <c r="D1917" s="10" t="s">
        <v>76</v>
      </c>
      <c r="E1917" s="11" t="s">
        <v>91</v>
      </c>
      <c r="F1917" s="12">
        <v>3514.96</v>
      </c>
      <c r="G1917" s="13" t="s">
        <v>114</v>
      </c>
      <c r="H1917" s="12">
        <f t="shared" si="29"/>
        <v>3514.96</v>
      </c>
    </row>
    <row r="1918" spans="1:8">
      <c r="A1918" s="14">
        <v>1913</v>
      </c>
      <c r="B1918" s="9">
        <v>45986</v>
      </c>
      <c r="C1918" s="10" t="s">
        <v>5</v>
      </c>
      <c r="D1918" s="10" t="s">
        <v>75</v>
      </c>
      <c r="E1918" s="11" t="s">
        <v>93</v>
      </c>
      <c r="F1918" s="12">
        <v>1739.87</v>
      </c>
      <c r="G1918" s="13" t="s">
        <v>114</v>
      </c>
      <c r="H1918" s="12">
        <f t="shared" si="29"/>
        <v>1739.87</v>
      </c>
    </row>
    <row r="1919" spans="1:8">
      <c r="A1919" s="14">
        <v>1914</v>
      </c>
      <c r="B1919" s="9">
        <v>45986</v>
      </c>
      <c r="C1919" s="10" t="s">
        <v>5</v>
      </c>
      <c r="D1919" s="10" t="s">
        <v>75</v>
      </c>
      <c r="E1919" s="11" t="s">
        <v>89</v>
      </c>
      <c r="F1919" s="12">
        <v>2763.44</v>
      </c>
      <c r="G1919" s="13" t="s">
        <v>114</v>
      </c>
      <c r="H1919" s="12">
        <f t="shared" si="29"/>
        <v>2763.44</v>
      </c>
    </row>
    <row r="1920" spans="1:8">
      <c r="A1920" s="14">
        <v>1915</v>
      </c>
      <c r="B1920" s="9">
        <v>45986</v>
      </c>
      <c r="C1920" s="10" t="s">
        <v>5</v>
      </c>
      <c r="D1920" s="10" t="s">
        <v>18</v>
      </c>
      <c r="E1920" s="11" t="s">
        <v>94</v>
      </c>
      <c r="F1920" s="12">
        <v>7699.64</v>
      </c>
      <c r="G1920" s="13" t="s">
        <v>114</v>
      </c>
      <c r="H1920" s="12">
        <f t="shared" si="29"/>
        <v>7699.64</v>
      </c>
    </row>
    <row r="1921" spans="1:8">
      <c r="A1921" s="14">
        <v>1916</v>
      </c>
      <c r="B1921" s="9">
        <v>45986</v>
      </c>
      <c r="C1921" s="10" t="s">
        <v>5</v>
      </c>
      <c r="D1921" s="10" t="s">
        <v>75</v>
      </c>
      <c r="E1921" s="11" t="s">
        <v>85</v>
      </c>
      <c r="F1921" s="12">
        <v>5229.51</v>
      </c>
      <c r="G1921" s="13" t="s">
        <v>114</v>
      </c>
      <c r="H1921" s="12">
        <f t="shared" si="29"/>
        <v>5229.51</v>
      </c>
    </row>
    <row r="1922" spans="1:8">
      <c r="A1922" s="14">
        <v>1917</v>
      </c>
      <c r="B1922" s="9">
        <v>45987</v>
      </c>
      <c r="C1922" s="10" t="s">
        <v>5</v>
      </c>
      <c r="D1922" s="10" t="s">
        <v>75</v>
      </c>
      <c r="E1922" s="11" t="s">
        <v>93</v>
      </c>
      <c r="F1922" s="12">
        <v>1202.42</v>
      </c>
      <c r="G1922" s="13" t="s">
        <v>114</v>
      </c>
      <c r="H1922" s="12">
        <f t="shared" si="29"/>
        <v>1202.42</v>
      </c>
    </row>
    <row r="1923" spans="1:8">
      <c r="A1923" s="14">
        <v>1918</v>
      </c>
      <c r="B1923" s="9">
        <v>45989</v>
      </c>
      <c r="C1923" s="10" t="s">
        <v>5</v>
      </c>
      <c r="D1923" s="10" t="s">
        <v>75</v>
      </c>
      <c r="E1923" s="11" t="s">
        <v>82</v>
      </c>
      <c r="F1923" s="12">
        <v>1358.52</v>
      </c>
      <c r="G1923" s="13" t="s">
        <v>114</v>
      </c>
      <c r="H1923" s="12">
        <f t="shared" si="29"/>
        <v>1358.52</v>
      </c>
    </row>
    <row r="1924" spans="1:8">
      <c r="A1924" s="14">
        <v>1919</v>
      </c>
      <c r="B1924" s="9">
        <v>45989</v>
      </c>
      <c r="C1924" s="10" t="s">
        <v>5</v>
      </c>
      <c r="D1924" s="10" t="s">
        <v>77</v>
      </c>
      <c r="E1924" s="11" t="s">
        <v>88</v>
      </c>
      <c r="F1924" s="12">
        <v>7751.98</v>
      </c>
      <c r="G1924" s="13" t="s">
        <v>114</v>
      </c>
      <c r="H1924" s="12">
        <f t="shared" si="29"/>
        <v>7751.98</v>
      </c>
    </row>
    <row r="1925" spans="1:8">
      <c r="A1925" s="14">
        <v>1920</v>
      </c>
      <c r="B1925" s="9">
        <v>45989</v>
      </c>
      <c r="C1925" s="10" t="s">
        <v>5</v>
      </c>
      <c r="D1925" s="10" t="s">
        <v>76</v>
      </c>
      <c r="E1925" s="11" t="s">
        <v>102</v>
      </c>
      <c r="F1925" s="12">
        <v>9300.4500000000007</v>
      </c>
      <c r="G1925" s="13" t="s">
        <v>114</v>
      </c>
      <c r="H1925" s="12">
        <f t="shared" ref="H1925:H1988" si="30">IF(C1925="Despesa", F1925*-1, F1925)</f>
        <v>9300.4500000000007</v>
      </c>
    </row>
    <row r="1926" spans="1:8">
      <c r="A1926" s="14">
        <v>1921</v>
      </c>
      <c r="B1926" s="9">
        <v>45989</v>
      </c>
      <c r="C1926" s="10" t="s">
        <v>5</v>
      </c>
      <c r="D1926" s="10" t="s">
        <v>75</v>
      </c>
      <c r="E1926" s="11" t="s">
        <v>78</v>
      </c>
      <c r="F1926" s="12">
        <v>6733.95</v>
      </c>
      <c r="G1926" s="13" t="s">
        <v>114</v>
      </c>
      <c r="H1926" s="12">
        <f t="shared" si="30"/>
        <v>6733.95</v>
      </c>
    </row>
    <row r="1927" spans="1:8">
      <c r="A1927" s="14">
        <v>1922</v>
      </c>
      <c r="B1927" s="9">
        <v>45991</v>
      </c>
      <c r="C1927" s="10" t="s">
        <v>5</v>
      </c>
      <c r="D1927" s="10" t="s">
        <v>18</v>
      </c>
      <c r="E1927" s="11" t="s">
        <v>98</v>
      </c>
      <c r="F1927" s="12">
        <v>17558.53</v>
      </c>
      <c r="G1927" s="13" t="s">
        <v>114</v>
      </c>
      <c r="H1927" s="12">
        <f t="shared" si="30"/>
        <v>17558.53</v>
      </c>
    </row>
    <row r="1928" spans="1:8">
      <c r="A1928" s="14">
        <v>1923</v>
      </c>
      <c r="B1928" s="9">
        <v>45992</v>
      </c>
      <c r="C1928" s="10" t="s">
        <v>5</v>
      </c>
      <c r="D1928" s="10" t="s">
        <v>75</v>
      </c>
      <c r="E1928" s="11" t="s">
        <v>89</v>
      </c>
      <c r="F1928" s="12">
        <v>2768.16</v>
      </c>
      <c r="G1928" s="13" t="s">
        <v>114</v>
      </c>
      <c r="H1928" s="12">
        <f t="shared" si="30"/>
        <v>2768.16</v>
      </c>
    </row>
    <row r="1929" spans="1:8">
      <c r="A1929" s="14">
        <v>1924</v>
      </c>
      <c r="B1929" s="9">
        <v>45993</v>
      </c>
      <c r="C1929" s="10" t="s">
        <v>5</v>
      </c>
      <c r="D1929" s="10" t="s">
        <v>18</v>
      </c>
      <c r="E1929" s="11" t="s">
        <v>90</v>
      </c>
      <c r="F1929" s="12">
        <v>12121.12</v>
      </c>
      <c r="G1929" s="13" t="s">
        <v>114</v>
      </c>
      <c r="H1929" s="12">
        <f t="shared" si="30"/>
        <v>12121.12</v>
      </c>
    </row>
    <row r="1930" spans="1:8">
      <c r="A1930" s="14">
        <v>1925</v>
      </c>
      <c r="B1930" s="9">
        <v>45993</v>
      </c>
      <c r="C1930" s="10" t="s">
        <v>5</v>
      </c>
      <c r="D1930" s="10" t="s">
        <v>75</v>
      </c>
      <c r="E1930" s="11" t="s">
        <v>82</v>
      </c>
      <c r="F1930" s="12">
        <v>6914.54</v>
      </c>
      <c r="G1930" s="13" t="s">
        <v>114</v>
      </c>
      <c r="H1930" s="12">
        <f t="shared" si="30"/>
        <v>6914.54</v>
      </c>
    </row>
    <row r="1931" spans="1:8">
      <c r="A1931" s="14">
        <v>1926</v>
      </c>
      <c r="B1931" s="9">
        <v>45994</v>
      </c>
      <c r="C1931" s="10" t="s">
        <v>5</v>
      </c>
      <c r="D1931" s="10" t="s">
        <v>75</v>
      </c>
      <c r="E1931" s="11" t="s">
        <v>97</v>
      </c>
      <c r="F1931" s="12">
        <v>2792.24</v>
      </c>
      <c r="G1931" s="13" t="s">
        <v>114</v>
      </c>
      <c r="H1931" s="12">
        <f t="shared" si="30"/>
        <v>2792.24</v>
      </c>
    </row>
    <row r="1932" spans="1:8">
      <c r="A1932" s="14">
        <v>1927</v>
      </c>
      <c r="B1932" s="9">
        <v>45994</v>
      </c>
      <c r="C1932" s="10" t="s">
        <v>5</v>
      </c>
      <c r="D1932" s="10" t="s">
        <v>75</v>
      </c>
      <c r="E1932" s="11" t="s">
        <v>97</v>
      </c>
      <c r="F1932" s="12">
        <v>2690.15</v>
      </c>
      <c r="G1932" s="13" t="s">
        <v>114</v>
      </c>
      <c r="H1932" s="12">
        <f t="shared" si="30"/>
        <v>2690.15</v>
      </c>
    </row>
    <row r="1933" spans="1:8">
      <c r="A1933" s="14">
        <v>1928</v>
      </c>
      <c r="B1933" s="9">
        <v>45995</v>
      </c>
      <c r="C1933" s="10" t="s">
        <v>5</v>
      </c>
      <c r="D1933" s="10" t="s">
        <v>76</v>
      </c>
      <c r="E1933" s="11" t="s">
        <v>80</v>
      </c>
      <c r="F1933" s="12">
        <v>4596.8599999999997</v>
      </c>
      <c r="G1933" s="13" t="s">
        <v>114</v>
      </c>
      <c r="H1933" s="12">
        <f t="shared" si="30"/>
        <v>4596.8599999999997</v>
      </c>
    </row>
    <row r="1934" spans="1:8">
      <c r="A1934" s="14">
        <v>1929</v>
      </c>
      <c r="B1934" s="9">
        <v>45995</v>
      </c>
      <c r="C1934" s="10" t="s">
        <v>5</v>
      </c>
      <c r="D1934" s="10" t="s">
        <v>75</v>
      </c>
      <c r="E1934" s="11" t="s">
        <v>78</v>
      </c>
      <c r="F1934" s="12">
        <v>5790.9</v>
      </c>
      <c r="G1934" s="13" t="s">
        <v>114</v>
      </c>
      <c r="H1934" s="12">
        <f t="shared" si="30"/>
        <v>5790.9</v>
      </c>
    </row>
    <row r="1935" spans="1:8">
      <c r="A1935" s="14">
        <v>1930</v>
      </c>
      <c r="B1935" s="9">
        <v>45995</v>
      </c>
      <c r="C1935" s="10" t="s">
        <v>5</v>
      </c>
      <c r="D1935" s="10" t="s">
        <v>76</v>
      </c>
      <c r="E1935" s="11" t="s">
        <v>87</v>
      </c>
      <c r="F1935" s="12">
        <v>1173.21</v>
      </c>
      <c r="G1935" s="13" t="s">
        <v>114</v>
      </c>
      <c r="H1935" s="12">
        <f t="shared" si="30"/>
        <v>1173.21</v>
      </c>
    </row>
    <row r="1936" spans="1:8">
      <c r="A1936" s="14">
        <v>1931</v>
      </c>
      <c r="B1936" s="9">
        <v>45996</v>
      </c>
      <c r="C1936" s="10" t="s">
        <v>5</v>
      </c>
      <c r="D1936" s="10" t="s">
        <v>18</v>
      </c>
      <c r="E1936" s="11" t="s">
        <v>104</v>
      </c>
      <c r="F1936" s="12">
        <v>8678.3700000000008</v>
      </c>
      <c r="G1936" s="13" t="s">
        <v>114</v>
      </c>
      <c r="H1936" s="12">
        <f t="shared" si="30"/>
        <v>8678.3700000000008</v>
      </c>
    </row>
    <row r="1937" spans="1:8">
      <c r="A1937" s="14">
        <v>1932</v>
      </c>
      <c r="B1937" s="9">
        <v>45996</v>
      </c>
      <c r="C1937" s="10" t="s">
        <v>5</v>
      </c>
      <c r="D1937" s="10" t="s">
        <v>75</v>
      </c>
      <c r="E1937" s="11" t="s">
        <v>85</v>
      </c>
      <c r="F1937" s="12">
        <v>2364.5100000000002</v>
      </c>
      <c r="G1937" s="13" t="s">
        <v>114</v>
      </c>
      <c r="H1937" s="12">
        <f t="shared" si="30"/>
        <v>2364.5100000000002</v>
      </c>
    </row>
    <row r="1938" spans="1:8">
      <c r="A1938" s="14">
        <v>1933</v>
      </c>
      <c r="B1938" s="9">
        <v>45999</v>
      </c>
      <c r="C1938" s="10" t="s">
        <v>5</v>
      </c>
      <c r="D1938" s="10" t="s">
        <v>75</v>
      </c>
      <c r="E1938" s="11" t="s">
        <v>85</v>
      </c>
      <c r="F1938" s="12">
        <v>4108.6899999999996</v>
      </c>
      <c r="G1938" s="13" t="s">
        <v>114</v>
      </c>
      <c r="H1938" s="12">
        <f t="shared" si="30"/>
        <v>4108.6899999999996</v>
      </c>
    </row>
    <row r="1939" spans="1:8">
      <c r="A1939" s="14">
        <v>1934</v>
      </c>
      <c r="B1939" s="9">
        <v>46000</v>
      </c>
      <c r="C1939" s="10" t="s">
        <v>5</v>
      </c>
      <c r="D1939" s="10" t="s">
        <v>18</v>
      </c>
      <c r="E1939" s="11" t="s">
        <v>79</v>
      </c>
      <c r="F1939" s="12">
        <v>9645.8799999999992</v>
      </c>
      <c r="G1939" s="13" t="s">
        <v>114</v>
      </c>
      <c r="H1939" s="12">
        <f t="shared" si="30"/>
        <v>9645.8799999999992</v>
      </c>
    </row>
    <row r="1940" spans="1:8">
      <c r="A1940" s="14">
        <v>1935</v>
      </c>
      <c r="B1940" s="9">
        <v>46000</v>
      </c>
      <c r="C1940" s="10" t="s">
        <v>5</v>
      </c>
      <c r="D1940" s="10" t="s">
        <v>76</v>
      </c>
      <c r="E1940" s="11" t="s">
        <v>87</v>
      </c>
      <c r="F1940" s="12">
        <v>2309.0500000000002</v>
      </c>
      <c r="G1940" s="13" t="s">
        <v>114</v>
      </c>
      <c r="H1940" s="12">
        <f t="shared" si="30"/>
        <v>2309.0500000000002</v>
      </c>
    </row>
    <row r="1941" spans="1:8">
      <c r="A1941" s="14">
        <v>1936</v>
      </c>
      <c r="B1941" s="9">
        <v>46000</v>
      </c>
      <c r="C1941" s="10" t="s">
        <v>5</v>
      </c>
      <c r="D1941" s="10" t="s">
        <v>18</v>
      </c>
      <c r="E1941" s="11" t="s">
        <v>86</v>
      </c>
      <c r="F1941" s="12">
        <v>25127.39</v>
      </c>
      <c r="G1941" s="13" t="s">
        <v>114</v>
      </c>
      <c r="H1941" s="12">
        <f t="shared" si="30"/>
        <v>25127.39</v>
      </c>
    </row>
    <row r="1942" spans="1:8">
      <c r="A1942" s="14">
        <v>1937</v>
      </c>
      <c r="B1942" s="9">
        <v>46001</v>
      </c>
      <c r="C1942" s="10" t="s">
        <v>5</v>
      </c>
      <c r="D1942" s="10" t="s">
        <v>76</v>
      </c>
      <c r="E1942" s="11" t="s">
        <v>95</v>
      </c>
      <c r="F1942" s="12">
        <v>3239.51</v>
      </c>
      <c r="G1942" s="13" t="s">
        <v>114</v>
      </c>
      <c r="H1942" s="12">
        <f t="shared" si="30"/>
        <v>3239.51</v>
      </c>
    </row>
    <row r="1943" spans="1:8">
      <c r="A1943" s="14">
        <v>1938</v>
      </c>
      <c r="B1943" s="9">
        <v>46001</v>
      </c>
      <c r="C1943" s="10" t="s">
        <v>5</v>
      </c>
      <c r="D1943" s="10" t="s">
        <v>76</v>
      </c>
      <c r="E1943" s="11" t="s">
        <v>87</v>
      </c>
      <c r="F1943" s="12">
        <v>2079.29</v>
      </c>
      <c r="G1943" s="13" t="s">
        <v>114</v>
      </c>
      <c r="H1943" s="12">
        <f t="shared" si="30"/>
        <v>2079.29</v>
      </c>
    </row>
    <row r="1944" spans="1:8">
      <c r="A1944" s="14">
        <v>1939</v>
      </c>
      <c r="B1944" s="9">
        <v>46001</v>
      </c>
      <c r="C1944" s="10" t="s">
        <v>5</v>
      </c>
      <c r="D1944" s="10" t="s">
        <v>75</v>
      </c>
      <c r="E1944" s="11" t="s">
        <v>78</v>
      </c>
      <c r="F1944" s="12">
        <v>9346.93</v>
      </c>
      <c r="G1944" s="13" t="s">
        <v>114</v>
      </c>
      <c r="H1944" s="12">
        <f t="shared" si="30"/>
        <v>9346.93</v>
      </c>
    </row>
    <row r="1945" spans="1:8">
      <c r="A1945" s="14">
        <v>1940</v>
      </c>
      <c r="B1945" s="9">
        <v>46001</v>
      </c>
      <c r="C1945" s="10" t="s">
        <v>5</v>
      </c>
      <c r="D1945" s="10" t="s">
        <v>75</v>
      </c>
      <c r="E1945" s="11" t="s">
        <v>111</v>
      </c>
      <c r="F1945" s="12">
        <v>1794.58</v>
      </c>
      <c r="G1945" s="13" t="s">
        <v>114</v>
      </c>
      <c r="H1945" s="12">
        <f t="shared" si="30"/>
        <v>1794.58</v>
      </c>
    </row>
    <row r="1946" spans="1:8">
      <c r="A1946" s="14">
        <v>1941</v>
      </c>
      <c r="B1946" s="9">
        <v>46001</v>
      </c>
      <c r="C1946" s="10" t="s">
        <v>5</v>
      </c>
      <c r="D1946" s="10" t="s">
        <v>76</v>
      </c>
      <c r="E1946" s="11" t="s">
        <v>102</v>
      </c>
      <c r="F1946" s="12">
        <v>5480.44</v>
      </c>
      <c r="G1946" s="13" t="s">
        <v>114</v>
      </c>
      <c r="H1946" s="12">
        <f t="shared" si="30"/>
        <v>5480.44</v>
      </c>
    </row>
    <row r="1947" spans="1:8">
      <c r="A1947" s="14">
        <v>1942</v>
      </c>
      <c r="B1947" s="9">
        <v>46002</v>
      </c>
      <c r="C1947" s="10" t="s">
        <v>5</v>
      </c>
      <c r="D1947" s="10" t="s">
        <v>76</v>
      </c>
      <c r="E1947" s="11" t="s">
        <v>80</v>
      </c>
      <c r="F1947" s="12">
        <v>8168.61</v>
      </c>
      <c r="G1947" s="13" t="s">
        <v>114</v>
      </c>
      <c r="H1947" s="12">
        <f t="shared" si="30"/>
        <v>8168.61</v>
      </c>
    </row>
    <row r="1948" spans="1:8">
      <c r="A1948" s="14">
        <v>1943</v>
      </c>
      <c r="B1948" s="9">
        <v>46002</v>
      </c>
      <c r="C1948" s="10" t="s">
        <v>5</v>
      </c>
      <c r="D1948" s="10" t="s">
        <v>75</v>
      </c>
      <c r="E1948" s="11" t="s">
        <v>106</v>
      </c>
      <c r="F1948" s="12">
        <v>3619.93</v>
      </c>
      <c r="G1948" s="13" t="s">
        <v>114</v>
      </c>
      <c r="H1948" s="12">
        <f t="shared" si="30"/>
        <v>3619.93</v>
      </c>
    </row>
    <row r="1949" spans="1:8">
      <c r="A1949" s="14">
        <v>1944</v>
      </c>
      <c r="B1949" s="9">
        <v>46002</v>
      </c>
      <c r="C1949" s="10" t="s">
        <v>5</v>
      </c>
      <c r="D1949" s="10" t="s">
        <v>75</v>
      </c>
      <c r="E1949" s="11" t="s">
        <v>78</v>
      </c>
      <c r="F1949" s="12">
        <v>3001.97</v>
      </c>
      <c r="G1949" s="13" t="s">
        <v>114</v>
      </c>
      <c r="H1949" s="12">
        <f t="shared" si="30"/>
        <v>3001.97</v>
      </c>
    </row>
    <row r="1950" spans="1:8">
      <c r="A1950" s="14">
        <v>1945</v>
      </c>
      <c r="B1950" s="9">
        <v>46002</v>
      </c>
      <c r="C1950" s="10" t="s">
        <v>5</v>
      </c>
      <c r="D1950" s="10" t="s">
        <v>76</v>
      </c>
      <c r="E1950" s="11" t="s">
        <v>99</v>
      </c>
      <c r="F1950" s="12">
        <v>4391.17</v>
      </c>
      <c r="G1950" s="13" t="s">
        <v>114</v>
      </c>
      <c r="H1950" s="12">
        <f t="shared" si="30"/>
        <v>4391.17</v>
      </c>
    </row>
    <row r="1951" spans="1:8">
      <c r="A1951" s="14">
        <v>1946</v>
      </c>
      <c r="B1951" s="9">
        <v>46003</v>
      </c>
      <c r="C1951" s="10" t="s">
        <v>5</v>
      </c>
      <c r="D1951" s="10" t="s">
        <v>75</v>
      </c>
      <c r="E1951" s="11" t="s">
        <v>85</v>
      </c>
      <c r="F1951" s="12">
        <v>5475.13</v>
      </c>
      <c r="G1951" s="13" t="s">
        <v>114</v>
      </c>
      <c r="H1951" s="12">
        <f t="shared" si="30"/>
        <v>5475.13</v>
      </c>
    </row>
    <row r="1952" spans="1:8">
      <c r="A1952" s="14">
        <v>1947</v>
      </c>
      <c r="B1952" s="9">
        <v>46003</v>
      </c>
      <c r="C1952" s="10" t="s">
        <v>5</v>
      </c>
      <c r="D1952" s="10" t="s">
        <v>18</v>
      </c>
      <c r="E1952" s="11" t="s">
        <v>86</v>
      </c>
      <c r="F1952" s="12">
        <v>12342.99</v>
      </c>
      <c r="G1952" s="13" t="s">
        <v>114</v>
      </c>
      <c r="H1952" s="12">
        <f t="shared" si="30"/>
        <v>12342.99</v>
      </c>
    </row>
    <row r="1953" spans="1:8">
      <c r="A1953" s="14">
        <v>1948</v>
      </c>
      <c r="B1953" s="9">
        <v>46004</v>
      </c>
      <c r="C1953" s="10" t="s">
        <v>5</v>
      </c>
      <c r="D1953" s="10" t="s">
        <v>18</v>
      </c>
      <c r="E1953" s="11" t="s">
        <v>90</v>
      </c>
      <c r="F1953" s="12">
        <v>13124.61</v>
      </c>
      <c r="G1953" s="13" t="s">
        <v>114</v>
      </c>
      <c r="H1953" s="12">
        <f t="shared" si="30"/>
        <v>13124.61</v>
      </c>
    </row>
    <row r="1954" spans="1:8">
      <c r="A1954" s="14">
        <v>1949</v>
      </c>
      <c r="B1954" s="9">
        <v>46004</v>
      </c>
      <c r="C1954" s="10" t="s">
        <v>5</v>
      </c>
      <c r="D1954" s="10" t="s">
        <v>76</v>
      </c>
      <c r="E1954" s="11" t="s">
        <v>87</v>
      </c>
      <c r="F1954" s="12">
        <v>2080.02</v>
      </c>
      <c r="G1954" s="13" t="s">
        <v>114</v>
      </c>
      <c r="H1954" s="12">
        <f t="shared" si="30"/>
        <v>2080.02</v>
      </c>
    </row>
    <row r="1955" spans="1:8">
      <c r="A1955" s="14">
        <v>1950</v>
      </c>
      <c r="B1955" s="9">
        <v>46005</v>
      </c>
      <c r="C1955" s="10" t="s">
        <v>5</v>
      </c>
      <c r="D1955" s="10" t="s">
        <v>18</v>
      </c>
      <c r="E1955" s="11" t="s">
        <v>90</v>
      </c>
      <c r="F1955" s="12">
        <v>13450.81</v>
      </c>
      <c r="G1955" s="13" t="s">
        <v>114</v>
      </c>
      <c r="H1955" s="12">
        <f t="shared" si="30"/>
        <v>13450.81</v>
      </c>
    </row>
    <row r="1956" spans="1:8">
      <c r="A1956" s="14">
        <v>1951</v>
      </c>
      <c r="B1956" s="9">
        <v>46005</v>
      </c>
      <c r="C1956" s="10" t="s">
        <v>5</v>
      </c>
      <c r="D1956" s="10" t="s">
        <v>75</v>
      </c>
      <c r="E1956" s="11" t="s">
        <v>82</v>
      </c>
      <c r="F1956" s="12">
        <v>6494.86</v>
      </c>
      <c r="G1956" s="13" t="s">
        <v>114</v>
      </c>
      <c r="H1956" s="12">
        <f t="shared" si="30"/>
        <v>6494.86</v>
      </c>
    </row>
    <row r="1957" spans="1:8">
      <c r="A1957" s="14">
        <v>1952</v>
      </c>
      <c r="B1957" s="9">
        <v>46006</v>
      </c>
      <c r="C1957" s="10" t="s">
        <v>5</v>
      </c>
      <c r="D1957" s="10" t="s">
        <v>77</v>
      </c>
      <c r="E1957" s="11" t="s">
        <v>108</v>
      </c>
      <c r="F1957" s="12">
        <v>1127.1199999999999</v>
      </c>
      <c r="G1957" s="13" t="s">
        <v>114</v>
      </c>
      <c r="H1957" s="12">
        <f t="shared" si="30"/>
        <v>1127.1199999999999</v>
      </c>
    </row>
    <row r="1958" spans="1:8">
      <c r="A1958" s="14">
        <v>1953</v>
      </c>
      <c r="B1958" s="9">
        <v>46006</v>
      </c>
      <c r="C1958" s="10" t="s">
        <v>5</v>
      </c>
      <c r="D1958" s="10" t="s">
        <v>18</v>
      </c>
      <c r="E1958" s="11" t="s">
        <v>104</v>
      </c>
      <c r="F1958" s="12">
        <v>5175.96</v>
      </c>
      <c r="G1958" s="13" t="s">
        <v>114</v>
      </c>
      <c r="H1958" s="12">
        <f t="shared" si="30"/>
        <v>5175.96</v>
      </c>
    </row>
    <row r="1959" spans="1:8">
      <c r="A1959" s="14">
        <v>1954</v>
      </c>
      <c r="B1959" s="9">
        <v>46007</v>
      </c>
      <c r="C1959" s="10" t="s">
        <v>5</v>
      </c>
      <c r="D1959" s="10" t="s">
        <v>76</v>
      </c>
      <c r="E1959" s="11" t="s">
        <v>80</v>
      </c>
      <c r="F1959" s="12">
        <v>8314.15</v>
      </c>
      <c r="G1959" s="13" t="s">
        <v>114</v>
      </c>
      <c r="H1959" s="12">
        <f t="shared" si="30"/>
        <v>8314.15</v>
      </c>
    </row>
    <row r="1960" spans="1:8">
      <c r="A1960" s="14">
        <v>1955</v>
      </c>
      <c r="B1960" s="9">
        <v>46007</v>
      </c>
      <c r="C1960" s="10" t="s">
        <v>5</v>
      </c>
      <c r="D1960" s="10" t="s">
        <v>75</v>
      </c>
      <c r="E1960" s="11" t="s">
        <v>93</v>
      </c>
      <c r="F1960" s="12">
        <v>2588.02</v>
      </c>
      <c r="G1960" s="13" t="s">
        <v>114</v>
      </c>
      <c r="H1960" s="12">
        <f t="shared" si="30"/>
        <v>2588.02</v>
      </c>
    </row>
    <row r="1961" spans="1:8">
      <c r="A1961" s="14">
        <v>1956</v>
      </c>
      <c r="B1961" s="9">
        <v>46007</v>
      </c>
      <c r="C1961" s="10" t="s">
        <v>5</v>
      </c>
      <c r="D1961" s="10" t="s">
        <v>75</v>
      </c>
      <c r="E1961" s="11" t="s">
        <v>78</v>
      </c>
      <c r="F1961" s="12">
        <v>4257.99</v>
      </c>
      <c r="G1961" s="13" t="s">
        <v>114</v>
      </c>
      <c r="H1961" s="12">
        <f t="shared" si="30"/>
        <v>4257.99</v>
      </c>
    </row>
    <row r="1962" spans="1:8">
      <c r="A1962" s="14">
        <v>1957</v>
      </c>
      <c r="B1962" s="9">
        <v>46007</v>
      </c>
      <c r="C1962" s="10" t="s">
        <v>5</v>
      </c>
      <c r="D1962" s="10" t="s">
        <v>75</v>
      </c>
      <c r="E1962" s="11" t="s">
        <v>78</v>
      </c>
      <c r="F1962" s="12">
        <v>5601.96</v>
      </c>
      <c r="G1962" s="13" t="s">
        <v>114</v>
      </c>
      <c r="H1962" s="12">
        <f t="shared" si="30"/>
        <v>5601.96</v>
      </c>
    </row>
    <row r="1963" spans="1:8">
      <c r="A1963" s="14">
        <v>1958</v>
      </c>
      <c r="B1963" s="9">
        <v>46007</v>
      </c>
      <c r="C1963" s="10" t="s">
        <v>5</v>
      </c>
      <c r="D1963" s="10" t="s">
        <v>75</v>
      </c>
      <c r="E1963" s="11" t="s">
        <v>101</v>
      </c>
      <c r="F1963" s="12">
        <v>4155.01</v>
      </c>
      <c r="G1963" s="13" t="s">
        <v>114</v>
      </c>
      <c r="H1963" s="12">
        <f t="shared" si="30"/>
        <v>4155.01</v>
      </c>
    </row>
    <row r="1964" spans="1:8">
      <c r="A1964" s="14">
        <v>1959</v>
      </c>
      <c r="B1964" s="9">
        <v>46008</v>
      </c>
      <c r="C1964" s="10" t="s">
        <v>5</v>
      </c>
      <c r="D1964" s="10" t="s">
        <v>76</v>
      </c>
      <c r="E1964" s="11" t="s">
        <v>80</v>
      </c>
      <c r="F1964" s="12">
        <v>7500.84</v>
      </c>
      <c r="G1964" s="13" t="s">
        <v>114</v>
      </c>
      <c r="H1964" s="12">
        <f t="shared" si="30"/>
        <v>7500.84</v>
      </c>
    </row>
    <row r="1965" spans="1:8">
      <c r="A1965" s="14">
        <v>1960</v>
      </c>
      <c r="B1965" s="9">
        <v>46008</v>
      </c>
      <c r="C1965" s="10" t="s">
        <v>5</v>
      </c>
      <c r="D1965" s="10" t="s">
        <v>75</v>
      </c>
      <c r="E1965" s="11" t="s">
        <v>106</v>
      </c>
      <c r="F1965" s="12">
        <v>3334.9</v>
      </c>
      <c r="G1965" s="13" t="s">
        <v>114</v>
      </c>
      <c r="H1965" s="12">
        <f t="shared" si="30"/>
        <v>3334.9</v>
      </c>
    </row>
    <row r="1966" spans="1:8">
      <c r="A1966" s="14">
        <v>1961</v>
      </c>
      <c r="B1966" s="9">
        <v>46008</v>
      </c>
      <c r="C1966" s="10" t="s">
        <v>5</v>
      </c>
      <c r="D1966" s="10" t="s">
        <v>75</v>
      </c>
      <c r="E1966" s="11" t="s">
        <v>106</v>
      </c>
      <c r="F1966" s="12">
        <v>1655.34</v>
      </c>
      <c r="G1966" s="13" t="s">
        <v>114</v>
      </c>
      <c r="H1966" s="12">
        <f t="shared" si="30"/>
        <v>1655.34</v>
      </c>
    </row>
    <row r="1967" spans="1:8">
      <c r="A1967" s="14">
        <v>1962</v>
      </c>
      <c r="B1967" s="9">
        <v>46008</v>
      </c>
      <c r="C1967" s="10" t="s">
        <v>5</v>
      </c>
      <c r="D1967" s="10" t="s">
        <v>75</v>
      </c>
      <c r="E1967" s="11" t="s">
        <v>93</v>
      </c>
      <c r="F1967" s="12">
        <v>5645.01</v>
      </c>
      <c r="G1967" s="13" t="s">
        <v>114</v>
      </c>
      <c r="H1967" s="12">
        <f t="shared" si="30"/>
        <v>5645.01</v>
      </c>
    </row>
    <row r="1968" spans="1:8">
      <c r="A1968" s="14">
        <v>1963</v>
      </c>
      <c r="B1968" s="9">
        <v>46009</v>
      </c>
      <c r="C1968" s="10" t="s">
        <v>5</v>
      </c>
      <c r="D1968" s="10" t="s">
        <v>75</v>
      </c>
      <c r="E1968" s="11" t="s">
        <v>106</v>
      </c>
      <c r="F1968" s="12">
        <v>2979.02</v>
      </c>
      <c r="G1968" s="13" t="s">
        <v>114</v>
      </c>
      <c r="H1968" s="12">
        <f t="shared" si="30"/>
        <v>2979.02</v>
      </c>
    </row>
    <row r="1969" spans="1:8">
      <c r="A1969" s="14">
        <v>1964</v>
      </c>
      <c r="B1969" s="9">
        <v>46009</v>
      </c>
      <c r="C1969" s="10" t="s">
        <v>5</v>
      </c>
      <c r="D1969" s="10" t="s">
        <v>75</v>
      </c>
      <c r="E1969" s="11" t="s">
        <v>89</v>
      </c>
      <c r="F1969" s="12">
        <v>5510.19</v>
      </c>
      <c r="G1969" s="13" t="s">
        <v>114</v>
      </c>
      <c r="H1969" s="12">
        <f t="shared" si="30"/>
        <v>5510.19</v>
      </c>
    </row>
    <row r="1970" spans="1:8">
      <c r="A1970" s="14">
        <v>1965</v>
      </c>
      <c r="B1970" s="9">
        <v>46009</v>
      </c>
      <c r="C1970" s="10" t="s">
        <v>5</v>
      </c>
      <c r="D1970" s="10" t="s">
        <v>75</v>
      </c>
      <c r="E1970" s="11" t="s">
        <v>82</v>
      </c>
      <c r="F1970" s="12">
        <v>3157.64</v>
      </c>
      <c r="G1970" s="13" t="s">
        <v>114</v>
      </c>
      <c r="H1970" s="12">
        <f t="shared" si="30"/>
        <v>3157.64</v>
      </c>
    </row>
    <row r="1971" spans="1:8">
      <c r="A1971" s="14">
        <v>1966</v>
      </c>
      <c r="B1971" s="9">
        <v>46009</v>
      </c>
      <c r="C1971" s="10" t="s">
        <v>5</v>
      </c>
      <c r="D1971" s="10" t="s">
        <v>76</v>
      </c>
      <c r="E1971" s="11" t="s">
        <v>80</v>
      </c>
      <c r="F1971" s="12">
        <v>4076.53</v>
      </c>
      <c r="G1971" s="13" t="s">
        <v>114</v>
      </c>
      <c r="H1971" s="12">
        <f t="shared" si="30"/>
        <v>4076.53</v>
      </c>
    </row>
    <row r="1972" spans="1:8">
      <c r="A1972" s="14">
        <v>1967</v>
      </c>
      <c r="B1972" s="9">
        <v>46009</v>
      </c>
      <c r="C1972" s="10" t="s">
        <v>5</v>
      </c>
      <c r="D1972" s="10" t="s">
        <v>76</v>
      </c>
      <c r="E1972" s="11" t="s">
        <v>102</v>
      </c>
      <c r="F1972" s="12">
        <v>10666.01</v>
      </c>
      <c r="G1972" s="13" t="s">
        <v>114</v>
      </c>
      <c r="H1972" s="12">
        <f t="shared" si="30"/>
        <v>10666.01</v>
      </c>
    </row>
    <row r="1973" spans="1:8">
      <c r="A1973" s="14">
        <v>1968</v>
      </c>
      <c r="B1973" s="9">
        <v>46010</v>
      </c>
      <c r="C1973" s="10" t="s">
        <v>5</v>
      </c>
      <c r="D1973" s="10" t="s">
        <v>18</v>
      </c>
      <c r="E1973" s="11" t="s">
        <v>94</v>
      </c>
      <c r="F1973" s="12">
        <v>9961.67</v>
      </c>
      <c r="G1973" s="13" t="s">
        <v>114</v>
      </c>
      <c r="H1973" s="12">
        <f t="shared" si="30"/>
        <v>9961.67</v>
      </c>
    </row>
    <row r="1974" spans="1:8">
      <c r="A1974" s="14">
        <v>1969</v>
      </c>
      <c r="B1974" s="9">
        <v>46010</v>
      </c>
      <c r="C1974" s="10" t="s">
        <v>5</v>
      </c>
      <c r="D1974" s="10" t="s">
        <v>75</v>
      </c>
      <c r="E1974" s="11" t="s">
        <v>89</v>
      </c>
      <c r="F1974" s="12">
        <v>8144.4</v>
      </c>
      <c r="G1974" s="13" t="s">
        <v>114</v>
      </c>
      <c r="H1974" s="12">
        <f t="shared" si="30"/>
        <v>8144.4</v>
      </c>
    </row>
    <row r="1975" spans="1:8">
      <c r="A1975" s="14">
        <v>1970</v>
      </c>
      <c r="B1975" s="9">
        <v>46011</v>
      </c>
      <c r="C1975" s="10" t="s">
        <v>5</v>
      </c>
      <c r="D1975" s="10" t="s">
        <v>76</v>
      </c>
      <c r="E1975" s="11" t="s">
        <v>99</v>
      </c>
      <c r="F1975" s="12">
        <v>6071.22</v>
      </c>
      <c r="G1975" s="13" t="s">
        <v>114</v>
      </c>
      <c r="H1975" s="12">
        <f t="shared" si="30"/>
        <v>6071.22</v>
      </c>
    </row>
    <row r="1976" spans="1:8">
      <c r="A1976" s="14">
        <v>1971</v>
      </c>
      <c r="B1976" s="9">
        <v>46011</v>
      </c>
      <c r="C1976" s="10" t="s">
        <v>5</v>
      </c>
      <c r="D1976" s="10" t="s">
        <v>76</v>
      </c>
      <c r="E1976" s="11" t="s">
        <v>87</v>
      </c>
      <c r="F1976" s="12">
        <v>1618.97</v>
      </c>
      <c r="G1976" s="13" t="s">
        <v>114</v>
      </c>
      <c r="H1976" s="12">
        <f t="shared" si="30"/>
        <v>1618.97</v>
      </c>
    </row>
    <row r="1977" spans="1:8">
      <c r="A1977" s="14">
        <v>1972</v>
      </c>
      <c r="B1977" s="9">
        <v>46013</v>
      </c>
      <c r="C1977" s="10" t="s">
        <v>5</v>
      </c>
      <c r="D1977" s="10" t="s">
        <v>75</v>
      </c>
      <c r="E1977" s="11" t="s">
        <v>93</v>
      </c>
      <c r="F1977" s="12">
        <v>4162.83</v>
      </c>
      <c r="G1977" s="13" t="s">
        <v>114</v>
      </c>
      <c r="H1977" s="12">
        <f t="shared" si="30"/>
        <v>4162.83</v>
      </c>
    </row>
    <row r="1978" spans="1:8">
      <c r="A1978" s="14">
        <v>1973</v>
      </c>
      <c r="B1978" s="9">
        <v>46013</v>
      </c>
      <c r="C1978" s="10" t="s">
        <v>5</v>
      </c>
      <c r="D1978" s="10" t="s">
        <v>75</v>
      </c>
      <c r="E1978" s="11" t="s">
        <v>78</v>
      </c>
      <c r="F1978" s="12">
        <v>4964.93</v>
      </c>
      <c r="G1978" s="13" t="s">
        <v>114</v>
      </c>
      <c r="H1978" s="12">
        <f t="shared" si="30"/>
        <v>4964.93</v>
      </c>
    </row>
    <row r="1979" spans="1:8">
      <c r="A1979" s="14">
        <v>1974</v>
      </c>
      <c r="B1979" s="9">
        <v>46013</v>
      </c>
      <c r="C1979" s="10" t="s">
        <v>5</v>
      </c>
      <c r="D1979" s="10" t="s">
        <v>76</v>
      </c>
      <c r="E1979" s="11" t="s">
        <v>91</v>
      </c>
      <c r="F1979" s="12">
        <v>3472.71</v>
      </c>
      <c r="G1979" s="13" t="s">
        <v>114</v>
      </c>
      <c r="H1979" s="12">
        <f t="shared" si="30"/>
        <v>3472.71</v>
      </c>
    </row>
    <row r="1980" spans="1:8">
      <c r="A1980" s="14">
        <v>1975</v>
      </c>
      <c r="B1980" s="9">
        <v>46013</v>
      </c>
      <c r="C1980" s="10" t="s">
        <v>5</v>
      </c>
      <c r="D1980" s="10" t="s">
        <v>76</v>
      </c>
      <c r="E1980" s="11" t="s">
        <v>99</v>
      </c>
      <c r="F1980" s="12">
        <v>4384.7</v>
      </c>
      <c r="G1980" s="13" t="s">
        <v>114</v>
      </c>
      <c r="H1980" s="12">
        <f t="shared" si="30"/>
        <v>4384.7</v>
      </c>
    </row>
    <row r="1981" spans="1:8">
      <c r="A1981" s="14">
        <v>1976</v>
      </c>
      <c r="B1981" s="9">
        <v>46014</v>
      </c>
      <c r="C1981" s="10" t="s">
        <v>5</v>
      </c>
      <c r="D1981" s="10" t="s">
        <v>76</v>
      </c>
      <c r="E1981" s="11" t="s">
        <v>95</v>
      </c>
      <c r="F1981" s="12">
        <v>4778.16</v>
      </c>
      <c r="G1981" s="13" t="s">
        <v>114</v>
      </c>
      <c r="H1981" s="12">
        <f t="shared" si="30"/>
        <v>4778.16</v>
      </c>
    </row>
    <row r="1982" spans="1:8">
      <c r="A1982" s="14">
        <v>1977</v>
      </c>
      <c r="B1982" s="9">
        <v>46014</v>
      </c>
      <c r="C1982" s="10" t="s">
        <v>5</v>
      </c>
      <c r="D1982" s="10" t="s">
        <v>76</v>
      </c>
      <c r="E1982" s="11" t="s">
        <v>95</v>
      </c>
      <c r="F1982" s="12">
        <v>2277.75</v>
      </c>
      <c r="G1982" s="13" t="s">
        <v>114</v>
      </c>
      <c r="H1982" s="12">
        <f t="shared" si="30"/>
        <v>2277.75</v>
      </c>
    </row>
    <row r="1983" spans="1:8">
      <c r="A1983" s="14">
        <v>1978</v>
      </c>
      <c r="B1983" s="9">
        <v>46014</v>
      </c>
      <c r="C1983" s="10" t="s">
        <v>5</v>
      </c>
      <c r="D1983" s="10" t="s">
        <v>76</v>
      </c>
      <c r="E1983" s="11" t="s">
        <v>91</v>
      </c>
      <c r="F1983" s="12">
        <v>7659.63</v>
      </c>
      <c r="G1983" s="13" t="s">
        <v>114</v>
      </c>
      <c r="H1983" s="12">
        <f t="shared" si="30"/>
        <v>7659.63</v>
      </c>
    </row>
    <row r="1984" spans="1:8">
      <c r="A1984" s="14">
        <v>1979</v>
      </c>
      <c r="B1984" s="9">
        <v>46014</v>
      </c>
      <c r="C1984" s="10" t="s">
        <v>5</v>
      </c>
      <c r="D1984" s="10" t="s">
        <v>75</v>
      </c>
      <c r="E1984" s="11" t="s">
        <v>97</v>
      </c>
      <c r="F1984" s="12">
        <v>1185.8399999999999</v>
      </c>
      <c r="G1984" s="13" t="s">
        <v>114</v>
      </c>
      <c r="H1984" s="12">
        <f t="shared" si="30"/>
        <v>1185.8399999999999</v>
      </c>
    </row>
    <row r="1985" spans="1:8">
      <c r="A1985" s="14">
        <v>1980</v>
      </c>
      <c r="B1985" s="9">
        <v>46014</v>
      </c>
      <c r="C1985" s="10" t="s">
        <v>5</v>
      </c>
      <c r="D1985" s="10" t="s">
        <v>75</v>
      </c>
      <c r="E1985" s="11" t="s">
        <v>82</v>
      </c>
      <c r="F1985" s="12">
        <v>5925.35</v>
      </c>
      <c r="G1985" s="13" t="s">
        <v>114</v>
      </c>
      <c r="H1985" s="12">
        <f t="shared" si="30"/>
        <v>5925.35</v>
      </c>
    </row>
    <row r="1986" spans="1:8">
      <c r="A1986" s="14">
        <v>1981</v>
      </c>
      <c r="B1986" s="9">
        <v>46014</v>
      </c>
      <c r="C1986" s="10" t="s">
        <v>5</v>
      </c>
      <c r="D1986" s="10" t="s">
        <v>75</v>
      </c>
      <c r="E1986" s="11" t="s">
        <v>89</v>
      </c>
      <c r="F1986" s="12">
        <v>10618.91</v>
      </c>
      <c r="G1986" s="13" t="s">
        <v>114</v>
      </c>
      <c r="H1986" s="12">
        <f t="shared" si="30"/>
        <v>10618.91</v>
      </c>
    </row>
    <row r="1987" spans="1:8">
      <c r="A1987" s="14">
        <v>1982</v>
      </c>
      <c r="B1987" s="9">
        <v>46014</v>
      </c>
      <c r="C1987" s="10" t="s">
        <v>5</v>
      </c>
      <c r="D1987" s="10" t="s">
        <v>75</v>
      </c>
      <c r="E1987" s="11" t="s">
        <v>89</v>
      </c>
      <c r="F1987" s="12">
        <v>5744.36</v>
      </c>
      <c r="G1987" s="13" t="s">
        <v>114</v>
      </c>
      <c r="H1987" s="12">
        <f t="shared" si="30"/>
        <v>5744.36</v>
      </c>
    </row>
    <row r="1988" spans="1:8">
      <c r="A1988" s="14">
        <v>1983</v>
      </c>
      <c r="B1988" s="9">
        <v>46015</v>
      </c>
      <c r="C1988" s="10" t="s">
        <v>5</v>
      </c>
      <c r="D1988" s="10" t="s">
        <v>77</v>
      </c>
      <c r="E1988" s="11" t="s">
        <v>108</v>
      </c>
      <c r="F1988" s="12">
        <v>795.09</v>
      </c>
      <c r="G1988" s="13" t="s">
        <v>114</v>
      </c>
      <c r="H1988" s="12">
        <f t="shared" si="30"/>
        <v>795.09</v>
      </c>
    </row>
    <row r="1989" spans="1:8">
      <c r="A1989" s="14">
        <v>1984</v>
      </c>
      <c r="B1989" s="9">
        <v>46015</v>
      </c>
      <c r="C1989" s="10" t="s">
        <v>5</v>
      </c>
      <c r="D1989" s="10" t="s">
        <v>75</v>
      </c>
      <c r="E1989" s="11" t="s">
        <v>97</v>
      </c>
      <c r="F1989" s="12">
        <v>2002.22</v>
      </c>
      <c r="G1989" s="13" t="s">
        <v>114</v>
      </c>
      <c r="H1989" s="12">
        <f t="shared" ref="H1989:H2004" si="31">IF(C1989="Despesa", F1989*-1, F1989)</f>
        <v>2002.22</v>
      </c>
    </row>
    <row r="1990" spans="1:8">
      <c r="A1990" s="14">
        <v>1985</v>
      </c>
      <c r="B1990" s="9">
        <v>46015</v>
      </c>
      <c r="C1990" s="10" t="s">
        <v>5</v>
      </c>
      <c r="D1990" s="10" t="s">
        <v>76</v>
      </c>
      <c r="E1990" s="11" t="s">
        <v>99</v>
      </c>
      <c r="F1990" s="12">
        <v>6071.96</v>
      </c>
      <c r="G1990" s="13" t="s">
        <v>114</v>
      </c>
      <c r="H1990" s="12">
        <f t="shared" si="31"/>
        <v>6071.96</v>
      </c>
    </row>
    <row r="1991" spans="1:8">
      <c r="A1991" s="14">
        <v>1986</v>
      </c>
      <c r="B1991" s="9">
        <v>46015</v>
      </c>
      <c r="C1991" s="10" t="s">
        <v>5</v>
      </c>
      <c r="D1991" s="10" t="s">
        <v>75</v>
      </c>
      <c r="E1991" s="11" t="s">
        <v>106</v>
      </c>
      <c r="F1991" s="12">
        <v>2370.36</v>
      </c>
      <c r="G1991" s="13" t="s">
        <v>114</v>
      </c>
      <c r="H1991" s="12">
        <f t="shared" si="31"/>
        <v>2370.36</v>
      </c>
    </row>
    <row r="1992" spans="1:8">
      <c r="A1992" s="14">
        <v>1987</v>
      </c>
      <c r="B1992" s="9">
        <v>46015</v>
      </c>
      <c r="C1992" s="10" t="s">
        <v>5</v>
      </c>
      <c r="D1992" s="10" t="s">
        <v>18</v>
      </c>
      <c r="E1992" s="11" t="s">
        <v>86</v>
      </c>
      <c r="F1992" s="12">
        <v>17519.43</v>
      </c>
      <c r="G1992" s="13" t="s">
        <v>114</v>
      </c>
      <c r="H1992" s="12">
        <f t="shared" si="31"/>
        <v>17519.43</v>
      </c>
    </row>
    <row r="1993" spans="1:8">
      <c r="A1993" s="14">
        <v>1988</v>
      </c>
      <c r="B1993" s="9">
        <v>46015</v>
      </c>
      <c r="C1993" s="10" t="s">
        <v>5</v>
      </c>
      <c r="D1993" s="10" t="s">
        <v>75</v>
      </c>
      <c r="E1993" s="11" t="s">
        <v>78</v>
      </c>
      <c r="F1993" s="12">
        <v>4853.4799999999996</v>
      </c>
      <c r="G1993" s="13" t="s">
        <v>114</v>
      </c>
      <c r="H1993" s="12">
        <f t="shared" si="31"/>
        <v>4853.4799999999996</v>
      </c>
    </row>
    <row r="1994" spans="1:8">
      <c r="A1994" s="14">
        <v>1989</v>
      </c>
      <c r="B1994" s="9">
        <v>46016</v>
      </c>
      <c r="C1994" s="10" t="s">
        <v>5</v>
      </c>
      <c r="D1994" s="10" t="s">
        <v>75</v>
      </c>
      <c r="E1994" s="11" t="s">
        <v>106</v>
      </c>
      <c r="F1994" s="12">
        <v>4445.42</v>
      </c>
      <c r="G1994" s="13" t="s">
        <v>114</v>
      </c>
      <c r="H1994" s="12">
        <f t="shared" si="31"/>
        <v>4445.42</v>
      </c>
    </row>
    <row r="1995" spans="1:8">
      <c r="A1995" s="14">
        <v>1990</v>
      </c>
      <c r="B1995" s="9">
        <v>46016</v>
      </c>
      <c r="C1995" s="10" t="s">
        <v>5</v>
      </c>
      <c r="D1995" s="10" t="s">
        <v>76</v>
      </c>
      <c r="E1995" s="11" t="s">
        <v>91</v>
      </c>
      <c r="F1995" s="12">
        <v>5248.73</v>
      </c>
      <c r="G1995" s="13" t="s">
        <v>114</v>
      </c>
      <c r="H1995" s="12">
        <f t="shared" si="31"/>
        <v>5248.73</v>
      </c>
    </row>
    <row r="1996" spans="1:8">
      <c r="A1996" s="14">
        <v>1991</v>
      </c>
      <c r="B1996" s="9">
        <v>46016</v>
      </c>
      <c r="C1996" s="10" t="s">
        <v>5</v>
      </c>
      <c r="D1996" s="10" t="s">
        <v>75</v>
      </c>
      <c r="E1996" s="11" t="s">
        <v>85</v>
      </c>
      <c r="F1996" s="12">
        <v>7475.65</v>
      </c>
      <c r="G1996" s="13" t="s">
        <v>114</v>
      </c>
      <c r="H1996" s="12">
        <f t="shared" si="31"/>
        <v>7475.65</v>
      </c>
    </row>
    <row r="1997" spans="1:8">
      <c r="A1997" s="14">
        <v>1992</v>
      </c>
      <c r="B1997" s="9">
        <v>46017</v>
      </c>
      <c r="C1997" s="10" t="s">
        <v>5</v>
      </c>
      <c r="D1997" s="10" t="s">
        <v>75</v>
      </c>
      <c r="E1997" s="11" t="s">
        <v>93</v>
      </c>
      <c r="F1997" s="12">
        <v>3657.84</v>
      </c>
      <c r="G1997" s="13" t="s">
        <v>114</v>
      </c>
      <c r="H1997" s="12">
        <f t="shared" si="31"/>
        <v>3657.84</v>
      </c>
    </row>
    <row r="1998" spans="1:8">
      <c r="A1998" s="14">
        <v>1993</v>
      </c>
      <c r="B1998" s="9">
        <v>46017</v>
      </c>
      <c r="C1998" s="10" t="s">
        <v>5</v>
      </c>
      <c r="D1998" s="10" t="s">
        <v>75</v>
      </c>
      <c r="E1998" s="11" t="s">
        <v>78</v>
      </c>
      <c r="F1998" s="12">
        <v>3886.15</v>
      </c>
      <c r="G1998" s="13" t="s">
        <v>114</v>
      </c>
      <c r="H1998" s="12">
        <f t="shared" si="31"/>
        <v>3886.15</v>
      </c>
    </row>
    <row r="1999" spans="1:8">
      <c r="A1999" s="14">
        <v>1994</v>
      </c>
      <c r="B1999" s="9">
        <v>46020</v>
      </c>
      <c r="C1999" s="10" t="s">
        <v>5</v>
      </c>
      <c r="D1999" s="10" t="s">
        <v>75</v>
      </c>
      <c r="E1999" s="11" t="s">
        <v>85</v>
      </c>
      <c r="F1999" s="12">
        <v>3846.9</v>
      </c>
      <c r="G1999" s="13" t="s">
        <v>114</v>
      </c>
      <c r="H1999" s="12">
        <f t="shared" si="31"/>
        <v>3846.9</v>
      </c>
    </row>
    <row r="2000" spans="1:8">
      <c r="A2000" s="14">
        <v>1995</v>
      </c>
      <c r="B2000" s="9">
        <v>46020</v>
      </c>
      <c r="C2000" s="10" t="s">
        <v>5</v>
      </c>
      <c r="D2000" s="10" t="s">
        <v>76</v>
      </c>
      <c r="E2000" s="11" t="s">
        <v>80</v>
      </c>
      <c r="F2000" s="12">
        <v>3922.55</v>
      </c>
      <c r="G2000" s="13" t="s">
        <v>114</v>
      </c>
      <c r="H2000" s="12">
        <f t="shared" si="31"/>
        <v>3922.55</v>
      </c>
    </row>
    <row r="2001" spans="1:8">
      <c r="A2001" s="14">
        <v>1996</v>
      </c>
      <c r="B2001" s="9">
        <v>46020</v>
      </c>
      <c r="C2001" s="10" t="s">
        <v>5</v>
      </c>
      <c r="D2001" s="10" t="s">
        <v>76</v>
      </c>
      <c r="E2001" s="11" t="s">
        <v>99</v>
      </c>
      <c r="F2001" s="12">
        <v>4818.6099999999997</v>
      </c>
      <c r="G2001" s="13" t="s">
        <v>114</v>
      </c>
      <c r="H2001" s="12">
        <f t="shared" si="31"/>
        <v>4818.6099999999997</v>
      </c>
    </row>
    <row r="2002" spans="1:8">
      <c r="A2002" s="14">
        <v>1997</v>
      </c>
      <c r="B2002" s="9">
        <v>46020</v>
      </c>
      <c r="C2002" s="10" t="s">
        <v>5</v>
      </c>
      <c r="D2002" s="10" t="s">
        <v>75</v>
      </c>
      <c r="E2002" s="11" t="s">
        <v>106</v>
      </c>
      <c r="F2002" s="12">
        <v>5370.9</v>
      </c>
      <c r="G2002" s="13" t="s">
        <v>114</v>
      </c>
      <c r="H2002" s="12">
        <f t="shared" si="31"/>
        <v>5370.9</v>
      </c>
    </row>
    <row r="2003" spans="1:8">
      <c r="A2003" s="14">
        <v>1998</v>
      </c>
      <c r="B2003" s="9">
        <v>46021</v>
      </c>
      <c r="C2003" s="10" t="s">
        <v>5</v>
      </c>
      <c r="D2003" s="10" t="s">
        <v>75</v>
      </c>
      <c r="E2003" s="11" t="s">
        <v>78</v>
      </c>
      <c r="F2003" s="12">
        <v>8947.82</v>
      </c>
      <c r="G2003" s="13" t="s">
        <v>114</v>
      </c>
      <c r="H2003" s="12">
        <f t="shared" si="31"/>
        <v>8947.82</v>
      </c>
    </row>
    <row r="2004" spans="1:8">
      <c r="A2004" s="14">
        <v>1999</v>
      </c>
      <c r="B2004" s="9">
        <v>46022</v>
      </c>
      <c r="C2004" s="10" t="s">
        <v>5</v>
      </c>
      <c r="D2004" s="10" t="s">
        <v>76</v>
      </c>
      <c r="E2004" s="11" t="s">
        <v>87</v>
      </c>
      <c r="F2004" s="12">
        <v>1009.98</v>
      </c>
      <c r="G2004" s="13" t="s">
        <v>114</v>
      </c>
      <c r="H2004" s="12">
        <f t="shared" si="31"/>
        <v>1009.98</v>
      </c>
    </row>
  </sheetData>
  <dataValidations count="2">
    <dataValidation type="list" allowBlank="1" showInputMessage="1" showErrorMessage="1" sqref="G2 H1 G5" xr:uid="{5ACB6735-1957-4D8B-9244-059DB5681A01}">
      <formula1>"Realizado, Pendente"</formula1>
    </dataValidation>
    <dataValidation type="list" allowBlank="1" showInputMessage="1" showErrorMessage="1" sqref="C5:C2004 C2" xr:uid="{798FF0A2-D331-4908-A350-47C9C6FC8219}">
      <formula1>"Receita, Despesa"</formula1>
    </dataValidation>
  </dataValidations>
  <pageMargins left="0.511811024" right="0.511811024" top="0.78740157499999996" bottom="0.78740157499999996" header="0.31496062000000002" footer="0.31496062000000002"/>
  <pageSetup paperSize="9" scale="59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Button 2">
              <controlPr defaultSize="0" print="0" autoFill="0" autoPict="0" macro="[0]!LimparFiltro">
                <anchor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10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Button 3">
              <controlPr defaultSize="0" print="0" autoFill="0" autoPict="0" macro="[0]!FiltrarTabela">
                <anchor>
                  <from>
                    <xdr:col>7</xdr:col>
                    <xdr:colOff>0</xdr:colOff>
                    <xdr:row>0</xdr:row>
                    <xdr:rowOff>0</xdr:rowOff>
                  </from>
                  <to>
                    <xdr:col>7</xdr:col>
                    <xdr:colOff>1082040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87467-F48F-4084-9169-1EE29A621C0D}">
  <sheetPr codeName="Planilha3">
    <pageSetUpPr fitToPage="1"/>
  </sheetPr>
  <dimension ref="A1:K12"/>
  <sheetViews>
    <sheetView workbookViewId="0">
      <selection activeCell="A18" sqref="A18"/>
    </sheetView>
  </sheetViews>
  <sheetFormatPr defaultColWidth="0" defaultRowHeight="14.4"/>
  <cols>
    <col min="1" max="6" width="19.77734375" customWidth="1"/>
    <col min="7" max="7" width="2.77734375" customWidth="1"/>
    <col min="8" max="11" width="19.77734375" customWidth="1"/>
    <col min="12" max="16384" width="8.88671875" hidden="1"/>
  </cols>
  <sheetData>
    <row r="1" spans="1:11" ht="28.8" customHeight="1">
      <c r="A1" s="30" t="s">
        <v>6</v>
      </c>
      <c r="B1" s="31"/>
      <c r="C1" s="31"/>
      <c r="D1" s="31"/>
      <c r="E1" s="31"/>
      <c r="F1" s="31"/>
      <c r="H1" s="30" t="s">
        <v>110</v>
      </c>
      <c r="I1" s="30"/>
      <c r="J1" s="30"/>
      <c r="K1" s="30"/>
    </row>
    <row r="2" spans="1:11" ht="28.8" customHeight="1">
      <c r="A2" s="3" t="s">
        <v>10</v>
      </c>
      <c r="B2" s="3" t="s">
        <v>17</v>
      </c>
      <c r="C2" s="3" t="s">
        <v>15</v>
      </c>
      <c r="D2" s="3" t="s">
        <v>9</v>
      </c>
      <c r="E2" s="3" t="s">
        <v>16</v>
      </c>
      <c r="F2" s="3" t="s">
        <v>14</v>
      </c>
      <c r="H2" s="3" t="s">
        <v>75</v>
      </c>
      <c r="I2" s="3" t="s">
        <v>18</v>
      </c>
      <c r="J2" s="3" t="s">
        <v>76</v>
      </c>
      <c r="K2" s="3" t="s">
        <v>77</v>
      </c>
    </row>
    <row r="3" spans="1:11" ht="30" customHeight="1">
      <c r="A3" s="4" t="s">
        <v>19</v>
      </c>
      <c r="B3" s="4" t="s">
        <v>20</v>
      </c>
      <c r="C3" s="4" t="s">
        <v>8</v>
      </c>
      <c r="D3" s="4" t="s">
        <v>21</v>
      </c>
      <c r="E3" s="4" t="s">
        <v>22</v>
      </c>
      <c r="F3" s="4" t="s">
        <v>23</v>
      </c>
      <c r="H3" s="4" t="s">
        <v>78</v>
      </c>
      <c r="I3" s="4" t="s">
        <v>79</v>
      </c>
      <c r="J3" s="4" t="s">
        <v>80</v>
      </c>
      <c r="K3" s="4" t="s">
        <v>81</v>
      </c>
    </row>
    <row r="4" spans="1:11" ht="30" customHeight="1">
      <c r="A4" s="4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H4" s="4" t="s">
        <v>82</v>
      </c>
      <c r="I4" s="4" t="s">
        <v>86</v>
      </c>
      <c r="J4" s="4" t="s">
        <v>83</v>
      </c>
      <c r="K4" s="4" t="s">
        <v>84</v>
      </c>
    </row>
    <row r="5" spans="1:11" ht="30" customHeight="1">
      <c r="A5" s="4" t="s">
        <v>30</v>
      </c>
      <c r="B5" s="4" t="s">
        <v>31</v>
      </c>
      <c r="C5" s="4" t="s">
        <v>7</v>
      </c>
      <c r="D5" s="4" t="s">
        <v>32</v>
      </c>
      <c r="E5" s="4" t="s">
        <v>33</v>
      </c>
      <c r="F5" s="4" t="s">
        <v>34</v>
      </c>
      <c r="H5" s="4" t="s">
        <v>85</v>
      </c>
      <c r="I5" s="4" t="s">
        <v>90</v>
      </c>
      <c r="J5" s="4" t="s">
        <v>87</v>
      </c>
      <c r="K5" s="4" t="s">
        <v>88</v>
      </c>
    </row>
    <row r="6" spans="1:11" ht="30" customHeight="1">
      <c r="A6" s="4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40</v>
      </c>
      <c r="H6" s="4" t="s">
        <v>89</v>
      </c>
      <c r="I6" s="4" t="s">
        <v>94</v>
      </c>
      <c r="J6" s="4" t="s">
        <v>91</v>
      </c>
      <c r="K6" s="4" t="s">
        <v>92</v>
      </c>
    </row>
    <row r="7" spans="1:11" ht="30" customHeight="1">
      <c r="A7" s="4" t="s">
        <v>41</v>
      </c>
      <c r="B7" s="4" t="s">
        <v>42</v>
      </c>
      <c r="C7" s="4" t="s">
        <v>43</v>
      </c>
      <c r="D7" s="4" t="s">
        <v>44</v>
      </c>
      <c r="E7" s="4" t="s">
        <v>45</v>
      </c>
      <c r="F7" s="4" t="s">
        <v>46</v>
      </c>
      <c r="H7" s="4" t="s">
        <v>93</v>
      </c>
      <c r="I7" s="4" t="s">
        <v>98</v>
      </c>
      <c r="J7" s="4" t="s">
        <v>95</v>
      </c>
      <c r="K7" s="4" t="s">
        <v>96</v>
      </c>
    </row>
    <row r="8" spans="1:11" ht="30" customHeight="1">
      <c r="A8" s="4" t="s">
        <v>47</v>
      </c>
      <c r="B8" s="4" t="s">
        <v>48</v>
      </c>
      <c r="C8" s="4" t="s">
        <v>49</v>
      </c>
      <c r="D8" s="4" t="s">
        <v>50</v>
      </c>
      <c r="E8" s="4" t="s">
        <v>51</v>
      </c>
      <c r="F8" s="4" t="s">
        <v>52</v>
      </c>
      <c r="H8" s="4" t="s">
        <v>97</v>
      </c>
      <c r="I8" s="4" t="s">
        <v>107</v>
      </c>
      <c r="J8" s="4" t="s">
        <v>99</v>
      </c>
      <c r="K8" s="4" t="s">
        <v>100</v>
      </c>
    </row>
    <row r="9" spans="1:11" ht="30" customHeight="1">
      <c r="A9" s="4" t="s">
        <v>53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58</v>
      </c>
      <c r="H9" s="4" t="s">
        <v>101</v>
      </c>
      <c r="I9" s="4" t="s">
        <v>104</v>
      </c>
      <c r="J9" s="4" t="s">
        <v>102</v>
      </c>
      <c r="K9" s="4" t="s">
        <v>103</v>
      </c>
    </row>
    <row r="10" spans="1:11" ht="30" customHeight="1">
      <c r="A10" s="4" t="s">
        <v>59</v>
      </c>
      <c r="B10" s="4" t="s">
        <v>60</v>
      </c>
      <c r="C10" s="4" t="s">
        <v>61</v>
      </c>
      <c r="D10" s="4" t="s">
        <v>62</v>
      </c>
      <c r="E10" s="4" t="s">
        <v>63</v>
      </c>
      <c r="F10" s="4" t="s">
        <v>64</v>
      </c>
      <c r="H10" s="4" t="s">
        <v>111</v>
      </c>
      <c r="I10" s="4" t="s">
        <v>60</v>
      </c>
      <c r="J10" s="4" t="s">
        <v>60</v>
      </c>
      <c r="K10" s="4" t="s">
        <v>105</v>
      </c>
    </row>
    <row r="11" spans="1:11" ht="30" customHeight="1">
      <c r="A11" s="4" t="s">
        <v>65</v>
      </c>
      <c r="B11" s="4" t="s">
        <v>60</v>
      </c>
      <c r="C11" s="4" t="s">
        <v>66</v>
      </c>
      <c r="D11" s="4" t="s">
        <v>67</v>
      </c>
      <c r="E11" s="4" t="s">
        <v>68</v>
      </c>
      <c r="F11" s="4" t="s">
        <v>69</v>
      </c>
      <c r="H11" s="4" t="s">
        <v>106</v>
      </c>
      <c r="I11" s="4" t="s">
        <v>60</v>
      </c>
      <c r="J11" s="4" t="s">
        <v>60</v>
      </c>
      <c r="K11" s="4" t="s">
        <v>108</v>
      </c>
    </row>
    <row r="12" spans="1:11" ht="30" customHeight="1">
      <c r="A12" s="4" t="s">
        <v>70</v>
      </c>
      <c r="B12" s="4" t="s">
        <v>60</v>
      </c>
      <c r="C12" s="4" t="s">
        <v>71</v>
      </c>
      <c r="D12" s="4" t="s">
        <v>72</v>
      </c>
      <c r="E12" s="4" t="s">
        <v>73</v>
      </c>
      <c r="F12" s="4" t="s">
        <v>74</v>
      </c>
      <c r="H12" s="4" t="s">
        <v>60</v>
      </c>
      <c r="I12" s="4" t="s">
        <v>60</v>
      </c>
      <c r="J12" s="4" t="s">
        <v>60</v>
      </c>
      <c r="K12" s="4" t="s">
        <v>109</v>
      </c>
    </row>
  </sheetData>
  <mergeCells count="2">
    <mergeCell ref="A1:F1"/>
    <mergeCell ref="H1:K1"/>
  </mergeCells>
  <pageMargins left="0.511811024" right="0.511811024" top="0.78740157499999996" bottom="0.78740157499999996" header="0.31496062000000002" footer="0.31496062000000002"/>
  <pageSetup paperSize="9" scale="67" fitToHeight="0" orientation="landscape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3AD4B33DADE14FB08BED599801D056" ma:contentTypeVersion="5" ma:contentTypeDescription="Crie um novo documento." ma:contentTypeScope="" ma:versionID="9064e7558275fd33efbcbb5e8c82c198">
  <xsd:schema xmlns:xsd="http://www.w3.org/2001/XMLSchema" xmlns:xs="http://www.w3.org/2001/XMLSchema" xmlns:p="http://schemas.microsoft.com/office/2006/metadata/properties" xmlns:ns3="29df2ab4-00ca-468d-9965-2292558fabba" targetNamespace="http://schemas.microsoft.com/office/2006/metadata/properties" ma:root="true" ma:fieldsID="356bd30d8101e775f489b56dd9b3669c" ns3:_="">
    <xsd:import namespace="29df2ab4-00ca-468d-9965-2292558fabb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df2ab4-00ca-468d-9965-2292558fabb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9df2ab4-00ca-468d-9965-2292558fabb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E721806A-1AAE-4B11-89D8-1EFC650C9E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df2ab4-00ca-468d-9965-2292558fab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27AB13-B89E-4DCA-B8A1-C1113DD37B19}">
  <ds:schemaRefs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29df2ab4-00ca-468d-9965-2292558fabba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619D945-1606-4372-A779-A65FB319CD6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3D2A15B-EEDC-4454-B44E-162906F366BB}">
  <ds:schemaRefs/>
</ds:datastoreItem>
</file>

<file path=customXml/itemProps5.xml><?xml version="1.0" encoding="utf-8"?>
<ds:datastoreItem xmlns:ds="http://schemas.openxmlformats.org/officeDocument/2006/customXml" ds:itemID="{8072C3CE-2331-44C8-9DCD-731076E0FB91}">
  <ds:schemaRefs/>
</ds:datastoreItem>
</file>

<file path=customXml/itemProps6.xml><?xml version="1.0" encoding="utf-8"?>
<ds:datastoreItem xmlns:ds="http://schemas.openxmlformats.org/officeDocument/2006/customXml" ds:itemID="{8A243617-27CA-41F0-B7F3-CD4983D4924A}">
  <ds:schemaRefs/>
</ds:datastoreItem>
</file>

<file path=customXml/itemProps7.xml><?xml version="1.0" encoding="utf-8"?>
<ds:datastoreItem xmlns:ds="http://schemas.openxmlformats.org/officeDocument/2006/customXml" ds:itemID="{A54AC8B7-9090-45FC-B0C8-EE40FC6D7675}">
  <ds:schemaRefs/>
</ds:datastoreItem>
</file>

<file path=customXml/itemProps8.xml><?xml version="1.0" encoding="utf-8"?>
<ds:datastoreItem xmlns:ds="http://schemas.openxmlformats.org/officeDocument/2006/customXml" ds:itemID="{46ABE884-2066-454F-96EB-5E0D4E77306A}">
  <ds:schemaRefs/>
</ds:datastoreItem>
</file>

<file path=customXml/itemProps9.xml><?xml version="1.0" encoding="utf-8"?>
<ds:datastoreItem xmlns:ds="http://schemas.openxmlformats.org/officeDocument/2006/customXml" ds:itemID="{9839FFBE-27AD-4A0A-BE98-35AE327DADB8}">
  <ds:schemaRefs/>
</ds:datastoreItem>
</file>

<file path=customXml/itemProps10.xml><?xml version="1.0" encoding="utf-8"?>
<ds:datastoreItem xmlns:ds="http://schemas.openxmlformats.org/officeDocument/2006/customXml" ds:itemID="{35FDF201-6340-406C-ADEF-76F6CC0858C0}">
  <ds:schemaRefs/>
</ds:datastoreItem>
</file>

<file path=customXml/itemProps11.xml><?xml version="1.0" encoding="utf-8"?>
<ds:datastoreItem xmlns:ds="http://schemas.openxmlformats.org/officeDocument/2006/customXml" ds:itemID="{58E967B4-D93F-4F5E-B72B-92C3D9E9056F}">
  <ds:schemaRefs/>
</ds:datastoreItem>
</file>

<file path=customXml/itemProps12.xml><?xml version="1.0" encoding="utf-8"?>
<ds:datastoreItem xmlns:ds="http://schemas.openxmlformats.org/officeDocument/2006/customXml" ds:itemID="{ED780E87-E88D-4972-95BB-0E741B55185D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7DC8402D-3286-4EC0-A97C-4C2692508BA2}">
  <ds:schemaRefs/>
</ds:datastoreItem>
</file>

<file path=customXml/itemProps14.xml><?xml version="1.0" encoding="utf-8"?>
<ds:datastoreItem xmlns:ds="http://schemas.openxmlformats.org/officeDocument/2006/customXml" ds:itemID="{334274F4-043E-4539-A1D8-9E1825C06E93}">
  <ds:schemaRefs/>
</ds:datastoreItem>
</file>

<file path=customXml/itemProps15.xml><?xml version="1.0" encoding="utf-8"?>
<ds:datastoreItem xmlns:ds="http://schemas.openxmlformats.org/officeDocument/2006/customXml" ds:itemID="{21CBFB3E-B317-4E17-9F8D-F3C030D063DB}">
  <ds:schemaRefs/>
</ds:datastoreItem>
</file>

<file path=customXml/itemProps16.xml><?xml version="1.0" encoding="utf-8"?>
<ds:datastoreItem xmlns:ds="http://schemas.openxmlformats.org/officeDocument/2006/customXml" ds:itemID="{DE439D5B-4D4E-4CB5-8312-F56986CC8363}">
  <ds:schemaRefs/>
</ds:datastoreItem>
</file>

<file path=customXml/itemProps17.xml><?xml version="1.0" encoding="utf-8"?>
<ds:datastoreItem xmlns:ds="http://schemas.openxmlformats.org/officeDocument/2006/customXml" ds:itemID="{D79D2CE7-B333-4968-9B0D-E4B4FF04FED7}">
  <ds:schemaRefs/>
</ds:datastoreItem>
</file>

<file path=customXml/itemProps18.xml><?xml version="1.0" encoding="utf-8"?>
<ds:datastoreItem xmlns:ds="http://schemas.openxmlformats.org/officeDocument/2006/customXml" ds:itemID="{B9ACC7C3-1086-4BAF-80DC-E3263A61B688}">
  <ds:schemaRefs/>
</ds:datastoreItem>
</file>

<file path=customXml/itemProps19.xml><?xml version="1.0" encoding="utf-8"?>
<ds:datastoreItem xmlns:ds="http://schemas.openxmlformats.org/officeDocument/2006/customXml" ds:itemID="{4B49A041-8D84-464C-90D5-16FE8BF47B5E}">
  <ds:schemaRefs/>
</ds:datastoreItem>
</file>

<file path=customXml/itemProps20.xml><?xml version="1.0" encoding="utf-8"?>
<ds:datastoreItem xmlns:ds="http://schemas.openxmlformats.org/officeDocument/2006/customXml" ds:itemID="{42F91785-37C6-4A62-BC5E-C29E50F44D26}">
  <ds:schemaRefs/>
</ds:datastoreItem>
</file>

<file path=customXml/itemProps21.xml><?xml version="1.0" encoding="utf-8"?>
<ds:datastoreItem xmlns:ds="http://schemas.openxmlformats.org/officeDocument/2006/customXml" ds:itemID="{7273254F-C81A-424B-8E6D-82F82F541F0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Calculos 2</vt:lpstr>
      <vt:lpstr>Dashboard</vt:lpstr>
      <vt:lpstr>Detalhes1</vt:lpstr>
      <vt:lpstr>Lançamentos</vt:lpstr>
      <vt:lpstr>Cadastros</vt:lpstr>
      <vt:lpstr>Lançamentos!Criterios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FERREIRA COSTA</dc:creator>
  <cp:lastModifiedBy>GUILHERME FERREIRA COSTA</cp:lastModifiedBy>
  <cp:lastPrinted>2026-09-06T14:39:24Z</cp:lastPrinted>
  <dcterms:created xsi:type="dcterms:W3CDTF">2026-08-31T18:53:11Z</dcterms:created>
  <dcterms:modified xsi:type="dcterms:W3CDTF">2026-09-06T17:42:02Z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0x010100EE3AD4B33DADE14FB08BED599801D056</vt:lpwstr>
  </property>
</Properties>
</file>